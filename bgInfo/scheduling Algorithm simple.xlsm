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C:\_code\PlanerRada\bgInfo\"/>
    </mc:Choice>
  </mc:AlternateContent>
  <bookViews>
    <workbookView xWindow="0" yWindow="0" windowWidth="26595" windowHeight="13590" tabRatio="571" activeTab="3"/>
  </bookViews>
  <sheets>
    <sheet name="Employee Hours" sheetId="1" r:id="rId1"/>
    <sheet name="Employee Availability" sheetId="3" r:id="rId2"/>
    <sheet name="Employee Preference" sheetId="5" r:id="rId3"/>
    <sheet name="Assignments" sheetId="2" r:id="rId4"/>
  </sheets>
  <definedNames>
    <definedName name="coin_cuttype" localSheetId="3" hidden="1">1</definedName>
    <definedName name="coin_dualtol" localSheetId="3" hidden="1">0.0000001</definedName>
    <definedName name="coin_heurs" localSheetId="3" hidden="1">1</definedName>
    <definedName name="coin_integerpresolve" localSheetId="3" hidden="1">1</definedName>
    <definedName name="coin_presolve1" localSheetId="3" hidden="1">1</definedName>
    <definedName name="coin_primaltol" localSheetId="3" hidden="1">0.0000001</definedName>
    <definedName name="grb_async_callbacks" localSheetId="3" hidden="1">1</definedName>
    <definedName name="grb_bariter" localSheetId="3" hidden="1">1E+100</definedName>
    <definedName name="grb_bartol" localSheetId="3" hidden="1">0.00000001</definedName>
    <definedName name="grb_crossover" localSheetId="3" hidden="1">-1</definedName>
    <definedName name="grb_cut_passes" localSheetId="3" hidden="1">-1</definedName>
    <definedName name="grb_cutoff" localSheetId="3" hidden="1">1E+100</definedName>
    <definedName name="grb_cuts" localSheetId="3" hidden="1">-1</definedName>
    <definedName name="grb_focus" localSheetId="3" hidden="1">0</definedName>
    <definedName name="grb_heur" localSheetId="3" hidden="1">0.05</definedName>
    <definedName name="grb_improv" localSheetId="3" hidden="1">1E+100</definedName>
    <definedName name="grb_improv_start_gap" localSheetId="3" hidden="1">0</definedName>
    <definedName name="grb_infeas" localSheetId="3" hidden="1">0.000001</definedName>
    <definedName name="grb_inttol" localSheetId="3" hidden="1">0.00001</definedName>
    <definedName name="grb_method" localSheetId="3" hidden="1">-1</definedName>
    <definedName name="grb_nodefilestart" localSheetId="3" hidden="1">1E+100</definedName>
    <definedName name="grb_optimal" localSheetId="3" hidden="1">0.000001</definedName>
    <definedName name="grb_order" localSheetId="3" hidden="1">-1</definedName>
    <definedName name="grb_pre_passes" localSheetId="3" hidden="1">-1</definedName>
    <definedName name="grb_presolve" localSheetId="3" hidden="1">-1</definedName>
    <definedName name="grb_pricing" localSheetId="3" hidden="1">-1</definedName>
    <definedName name="grb_psdtol" localSheetId="3" hidden="1">0.000001</definedName>
    <definedName name="grb_qcptol" localSheetId="3" hidden="1">0.000001</definedName>
    <definedName name="grb_relmip" localSheetId="3" hidden="1">0.0001</definedName>
    <definedName name="grb_scaleflag" localSheetId="3" hidden="1">1</definedName>
    <definedName name="grb_seed" localSheetId="3" hidden="1">0</definedName>
    <definedName name="grb_submip" localSheetId="3" hidden="1">500</definedName>
    <definedName name="grb_symmetry" localSheetId="3" hidden="1">-1</definedName>
    <definedName name="grb_threads" localSheetId="3" hidden="1">0</definedName>
    <definedName name="grb_var" localSheetId="3" hidden="1">-1</definedName>
    <definedName name="grb_zeroobjnodes" localSheetId="3" hidden="1">-1</definedName>
    <definedName name="gurobi_qp" localSheetId="3" hidden="1">0</definedName>
    <definedName name="LSGRGeng_RelaxBounds" localSheetId="3" hidden="1">2</definedName>
    <definedName name="param_cuthi" localSheetId="3" hidden="1">2E+30</definedName>
    <definedName name="param_cutlo" localSheetId="3" hidden="1">-2E+30</definedName>
    <definedName name="param_epstep" localSheetId="3" hidden="1">0.000001</definedName>
    <definedName name="param_extinc" localSheetId="3" hidden="1">0.5</definedName>
    <definedName name="param_iisbnd" localSheetId="3" hidden="1">0</definedName>
    <definedName name="param_nsfeas" localSheetId="3" hidden="1">0</definedName>
    <definedName name="param_relax" localSheetId="3" hidden="1">0</definedName>
    <definedName name="solver_acc" localSheetId="3" hidden="1">0.001</definedName>
    <definedName name="solver_adj" localSheetId="3" hidden="1">Assignments!$C$6:$AX$9</definedName>
    <definedName name="solver_adj_ob" localSheetId="3" hidden="1">1</definedName>
    <definedName name="solver_ars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c5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p5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ir5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n5" localSheetId="3" hidden="1">" "</definedName>
    <definedName name="solver_con6" localSheetId="3" hidden="1">Assignments!$A$1</definedName>
    <definedName name="solver_cvg" localSheetId="3" hidden="1">0.0001</definedName>
    <definedName name="solver_cvg" localSheetId="0" hidden="1">0.0001</definedName>
    <definedName name="solver_dia" localSheetId="3" hidden="1">5</definedName>
    <definedName name="solver_drv" localSheetId="3" hidden="1">1</definedName>
    <definedName name="solver_drv" localSheetId="0" hidden="1">1</definedName>
    <definedName name="solver_eng" localSheetId="3" hidden="1">0</definedName>
    <definedName name="solver_eng" localSheetId="0" hidden="1">1</definedName>
    <definedName name="solver_est" localSheetId="3" hidden="1">1</definedName>
    <definedName name="solver_eval" hidden="1">0</definedName>
    <definedName name="solver_fea" localSheetId="3" hidden="1">0.000001</definedName>
    <definedName name="solver_fns" localSheetId="3" hidden="1">0</definedName>
    <definedName name="solver_gap" localSheetId="3" hidden="1">0.000001</definedName>
    <definedName name="solver_iao" localSheetId="3" hidden="1">0</definedName>
    <definedName name="solver_int" localSheetId="3" hidden="1">0</definedName>
    <definedName name="solver_ipd" localSheetId="3" hidden="1">3</definedName>
    <definedName name="solver_ipi" localSheetId="3" hidden="1">1</definedName>
    <definedName name="solver_ips" localSheetId="3" hidden="1">0.99</definedName>
    <definedName name="solver_irs" localSheetId="3" hidden="1">0</definedName>
    <definedName name="solver_ism" localSheetId="3" hidden="1">0</definedName>
    <definedName name="solver_itr" localSheetId="3" hidden="1">2147483647</definedName>
    <definedName name="solver_itr" localSheetId="0" hidden="1">2147483647</definedName>
    <definedName name="solver_kiv" localSheetId="3" hidden="1">2E+30</definedName>
    <definedName name="solver_legacy" localSheetId="3" hidden="1">1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_ob5" localSheetId="3" hidden="1">0</definedName>
    <definedName name="solver_lhs1" localSheetId="3" hidden="1">Assignments!$BG$6:$BG$9</definedName>
    <definedName name="solver_lhs2" localSheetId="3" hidden="1">Assignments!$BG$6:$BG$9</definedName>
    <definedName name="solver_lhs3" localSheetId="3" hidden="1">Assignments!$C$6:$AX$9</definedName>
    <definedName name="solver_lhs4" localSheetId="3" hidden="1">Assignments!$C$18:$AX$21</definedName>
    <definedName name="solver_lhs4" localSheetId="1" hidden="1">'Employee Availability'!$C$6:$AT$9</definedName>
    <definedName name="solver_lhs5" localSheetId="3" hidden="1">Assignments!$C$5:$AX$5</definedName>
    <definedName name="solver_lhs6" localSheetId="3" hidden="1">Assignments!$C$6:$AR$9</definedName>
    <definedName name="solver_lin" localSheetId="3" hidden="1">2</definedName>
    <definedName name="solver_lin" localSheetId="0" hidden="1">2</definedName>
    <definedName name="solver_loc" localSheetId="3" hidden="1">4</definedName>
    <definedName name="solver_lpp" localSheetId="3" hidden="1">0</definedName>
    <definedName name="solver_lpt" localSheetId="3" hidden="1">0</definedName>
    <definedName name="solver_lva" localSheetId="3" hidden="1">0</definedName>
    <definedName name="solver_mda" localSheetId="3" hidden="1">4</definedName>
    <definedName name="solver_mdlsearch" localSheetId="3" hidden="1">1</definedName>
    <definedName name="solver_met" localSheetId="3" hidden="1">1</definedName>
    <definedName name="solver_mip" localSheetId="3" hidden="1">2147483647</definedName>
    <definedName name="solver_mip" localSheetId="0" hidden="1">2147483647</definedName>
    <definedName name="solver_mni" localSheetId="3" hidden="1">30</definedName>
    <definedName name="solver_mni" localSheetId="0" hidden="1">30</definedName>
    <definedName name="solver_mod" localSheetId="3" hidden="1">1</definedName>
    <definedName name="solver_mrt" localSheetId="3" hidden="1">0.075</definedName>
    <definedName name="solver_mrt" localSheetId="0" hidden="1">0.075</definedName>
    <definedName name="solver_msl" localSheetId="3" hidden="1">2</definedName>
    <definedName name="solver_msl" localSheetId="0" hidden="1">2</definedName>
    <definedName name="solver_neg" localSheetId="3" hidden="1">1</definedName>
    <definedName name="solver_neg" localSheetId="0" hidden="1">1</definedName>
    <definedName name="solver_nod" localSheetId="3" hidden="1">2147483647</definedName>
    <definedName name="solver_nod" localSheetId="0" hidden="1">2147483647</definedName>
    <definedName name="solver_ntr" localSheetId="3" hidden="1">2</definedName>
    <definedName name="solver_ntri" hidden="1">1000</definedName>
    <definedName name="solver_num" localSheetId="3" hidden="1">5</definedName>
    <definedName name="solver_num" localSheetId="1" hidden="1">4</definedName>
    <definedName name="solver_num" localSheetId="0" hidden="1">0</definedName>
    <definedName name="solver_nwt" localSheetId="3" hidden="1">1</definedName>
    <definedName name="solver_obc" localSheetId="3" hidden="1">0</definedName>
    <definedName name="solver_obp" localSheetId="3" hidden="1">0</definedName>
    <definedName name="solver_opt" localSheetId="3" hidden="1">Assignments!$C$10</definedName>
    <definedName name="solver_opt_ob" localSheetId="3" hidden="1">1</definedName>
    <definedName name="solver_pre" localSheetId="3" hidden="1">0.000001</definedName>
    <definedName name="solver_pre" localSheetId="0" hidden="1">0.000001</definedName>
    <definedName name="solver_psi" localSheetId="3" hidden="1">0</definedName>
    <definedName name="solver_rbv" localSheetId="3" hidden="1">1</definedName>
    <definedName name="solver_rbv" localSheetId="0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co5" localSheetId="3" hidden="1">0</definedName>
    <definedName name="solver_rel1" localSheetId="3" hidden="1">3</definedName>
    <definedName name="solver_rel2" localSheetId="3" hidden="1">1</definedName>
    <definedName name="solver_rel3" localSheetId="3" hidden="1">5</definedName>
    <definedName name="solver_rel4" localSheetId="3" hidden="1">1</definedName>
    <definedName name="solver_rel4" localSheetId="1" hidden="1">5</definedName>
    <definedName name="solver_rel5" localSheetId="3" hidden="1">3</definedName>
    <definedName name="solver_rel6" localSheetId="3" hidden="1">5</definedName>
    <definedName name="solver_rep" localSheetId="3" hidden="1">0</definedName>
    <definedName name="solver_res" localSheetId="3" hidden="1">0.05</definedName>
    <definedName name="solver_rhs1" localSheetId="3" hidden="1">Assignments!$BH$6:$BH$9</definedName>
    <definedName name="solver_rhs2" localSheetId="3" hidden="1">Assignments!$BI$6:$BI$9</definedName>
    <definedName name="solver_rhs4" localSheetId="3" hidden="1">Assignments!$C$23:$AX$26</definedName>
    <definedName name="solver_rhs5" localSheetId="3" hidden="1">Assignments!$C$4:$AX$4</definedName>
    <definedName name="solver_rhs6" localSheetId="3" hidden="1">binary</definedName>
    <definedName name="solver_rlx" localSheetId="3" hidden="1">0</definedName>
    <definedName name="solver_rlx" localSheetId="0" hidden="1">1</definedName>
    <definedName name="solver_rsd" localSheetId="3" hidden="1">0</definedName>
    <definedName name="solver_rsd" localSheetId="0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1</definedName>
    <definedName name="solver_rxc3" localSheetId="1" hidden="1">1</definedName>
    <definedName name="solver_rxc4" localSheetId="3" hidden="1">1</definedName>
    <definedName name="solver_rxc4" localSheetId="1" hidden="1">1</definedName>
    <definedName name="solver_rxc5" localSheetId="3" hidden="1">1</definedName>
    <definedName name="solver_rxc6" localSheetId="3" hidden="1">1</definedName>
    <definedName name="solver_rxv" localSheetId="3" hidden="1">1</definedName>
    <definedName name="solver_scl" localSheetId="3" hidden="1">1</definedName>
    <definedName name="solver_scl" localSheetId="0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0" hidden="1">2</definedName>
    <definedName name="solver_slv" localSheetId="3" hidden="1">0</definedName>
    <definedName name="solver_slvu" localSheetId="3" hidden="1">0</definedName>
    <definedName name="solver_soc" localSheetId="3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sz" localSheetId="0" hidden="1">100</definedName>
    <definedName name="solver_sta" localSheetId="3" hidden="1">0</definedName>
    <definedName name="solver_tim" localSheetId="3" hidden="1">2147483647</definedName>
    <definedName name="solver_tim" localSheetId="0" hidden="1">2147483647</definedName>
    <definedName name="solver_tms" localSheetId="3" hidden="1">0</definedName>
    <definedName name="solver_tol" localSheetId="3" hidden="1">0.01</definedName>
    <definedName name="solver_tol" localSheetId="0" hidden="1">0.01</definedName>
    <definedName name="solver_typ" localSheetId="3" hidden="1">1</definedName>
    <definedName name="solver_typ" localSheetId="1" hidden="1">2</definedName>
    <definedName name="solver_typ" localSheetId="0" hidden="1">1</definedName>
    <definedName name="solver_typ" localSheetId="2" hidden="1">2</definedName>
    <definedName name="solver_ufp" localSheetId="3" hidden="1">1</definedName>
    <definedName name="solver_umod" localSheetId="3" hidden="1">1</definedName>
    <definedName name="solver_urs" localSheetId="3" hidden="1">0</definedName>
    <definedName name="solver_userid" localSheetId="3" hidden="1">" "</definedName>
    <definedName name="solver_userid" localSheetId="1" hidden="1">" "</definedName>
    <definedName name="solver_val" localSheetId="3" hidden="1">0</definedName>
    <definedName name="solver_val" localSheetId="0" hidden="1">0</definedName>
    <definedName name="solver_var" localSheetId="3" hidden="1">" "</definedName>
    <definedName name="solver_ver" localSheetId="3" hidden="1">17</definedName>
    <definedName name="solver_ver" localSheetId="1" hidden="1">17</definedName>
    <definedName name="solver_ver" localSheetId="0" hidden="1">2</definedName>
    <definedName name="solver_ver" localSheetId="2" hidden="1">17</definedName>
    <definedName name="solver_vir" localSheetId="3" hidden="1">1</definedName>
    <definedName name="solver_vol" localSheetId="3" hidden="1">0</definedName>
    <definedName name="solver_vst" localSheetId="3" hidden="1">0</definedName>
    <definedName name="xpress_addcut" localSheetId="3" hidden="1">-0.00001</definedName>
    <definedName name="xpress_barindef" localSheetId="3" hidden="1">15</definedName>
    <definedName name="xpress_bigm" localSheetId="3" hidden="1">9.87654321</definedName>
    <definedName name="xpress_border" localSheetId="3" hidden="1">0</definedName>
    <definedName name="xpress_breadthfirst" localSheetId="3" hidden="1">11</definedName>
    <definedName name="xpress_cache_size" localSheetId="3" hidden="1">-1</definedName>
    <definedName name="xpress_cross" localSheetId="3" hidden="1">-1</definedName>
    <definedName name="xpress_cutdepth" localSheetId="3" hidden="1">-1</definedName>
    <definedName name="xpress_cutfreq" localSheetId="3" hidden="1">-1</definedName>
    <definedName name="xpress_cutoff" localSheetId="3" hidden="1">9.87654321</definedName>
    <definedName name="xpress_cutstrat" localSheetId="3" hidden="1">-1</definedName>
    <definedName name="xpress_densecol" localSheetId="3" hidden="1">0</definedName>
    <definedName name="xpress_freethreaded" localSheetId="3" hidden="1">0</definedName>
    <definedName name="xpress_heurdepth" localSheetId="3" hidden="1">-1</definedName>
    <definedName name="xpress_heurfreq" localSheetId="3" hidden="1">-1</definedName>
    <definedName name="xpress_heurmaxnodes" localSheetId="3" hidden="1">-1</definedName>
    <definedName name="xpress_heurmaxsol" localSheetId="3" hidden="1">-1</definedName>
    <definedName name="xpress_heurstrategy" localSheetId="3" hidden="1">-1</definedName>
    <definedName name="xpress_ialg" localSheetId="3" hidden="1">1</definedName>
    <definedName name="xpress_icrash" localSheetId="3" hidden="1">2</definedName>
    <definedName name="xpress_icrash2" localSheetId="3" hidden="1">10</definedName>
    <definedName name="xpress_ifbigm" localSheetId="3" hidden="1">1</definedName>
    <definedName name="xpress_ifintp" localSheetId="3" hidden="1">-1</definedName>
    <definedName name="xpress_ifpres" localSheetId="3" hidden="1">1</definedName>
    <definedName name="xpress_ifscal" localSheetId="3" hidden="1">35</definedName>
    <definedName name="xpress_invfrq" localSheetId="3" hidden="1">-1</definedName>
    <definedName name="xpress_invmin" localSheetId="3" hidden="1">3</definedName>
    <definedName name="xpress_ipetrb" localSheetId="3" hidden="1">1</definedName>
    <definedName name="xpress_iphsf" localSheetId="3" hidden="1">0</definedName>
    <definedName name="xpress_maxiter" localSheetId="3" hidden="1">200</definedName>
    <definedName name="xpress_mipthreads" localSheetId="3" hidden="1">0</definedName>
    <definedName name="xpress_ndsel1" localSheetId="3" hidden="1">0</definedName>
    <definedName name="xpress_ndsel2" localSheetId="3" hidden="1">3</definedName>
    <definedName name="xpress_nitcov" localSheetId="3" hidden="1">-1</definedName>
    <definedName name="xpress_nitgom" localSheetId="3" hidden="1">-1</definedName>
    <definedName name="xpress_ntrcov" localSheetId="3" hidden="1">1</definedName>
    <definedName name="xpress_ntrgom" localSheetId="3" hidden="1">1</definedName>
    <definedName name="xpress_optca" localSheetId="3" hidden="1">0</definedName>
    <definedName name="xpress_optcr" localSheetId="3" hidden="1">0.0001</definedName>
    <definedName name="xpress_percut" localSheetId="3" hidden="1">0.0001</definedName>
    <definedName name="xpress_peturb" localSheetId="3" hidden="1">0</definedName>
    <definedName name="xpress_presolve" localSheetId="3" hidden="1">511</definedName>
    <definedName name="xpress_qp" localSheetId="3" hidden="1">0</definedName>
    <definedName name="xpress_rcand" localSheetId="3" hidden="1">1</definedName>
    <definedName name="xpress_rtolps" localSheetId="3" hidden="1">0.01</definedName>
    <definedName name="xpress_sbbest" localSheetId="3" hidden="1">-1</definedName>
    <definedName name="xpress_sbiterlimit" localSheetId="3" hidden="1">-1</definedName>
    <definedName name="xpress_tolcomp" localSheetId="3" hidden="1">0</definedName>
    <definedName name="xpress_toldual" localSheetId="3" hidden="1">0</definedName>
    <definedName name="xpress_tolimp" localSheetId="3" hidden="1">0.0000000001</definedName>
    <definedName name="xpress_tolpiv" localSheetId="3" hidden="1">0.000000000000001</definedName>
    <definedName name="xpress_tolprimal" localSheetId="3" hidden="1">0</definedName>
    <definedName name="xpress_varselection" localSheetId="3" hidden="1">-1</definedName>
    <definedName name="xpress_ztcost" localSheetId="3" hidden="1">0.000001</definedName>
    <definedName name="xpress_ztelim" localSheetId="3" hidden="1">0.001</definedName>
    <definedName name="xpress_zteta" localSheetId="3" hidden="1">0.0000000000001</definedName>
    <definedName name="xpress_ztolda" localSheetId="3" hidden="1">0.000000001</definedName>
    <definedName name="xpress_ztolis" localSheetId="3" hidden="1">0.000005</definedName>
    <definedName name="xpress_ztolpv" localSheetId="3" hidden="1">0.000000001</definedName>
    <definedName name="xpress_ztolri" localSheetId="3" hidden="1">0.01</definedName>
    <definedName name="xpress_ztolrp" localSheetId="3" hidden="1">0.000001</definedName>
    <definedName name="xpress_ztolze" localSheetId="3" hidden="1">0.000001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G5" i="5" l="1"/>
  <c r="BH5" i="5"/>
  <c r="BI5" i="5"/>
  <c r="BJ5" i="5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C10" i="2"/>
  <c r="F7" i="1"/>
  <c r="G7" i="1"/>
  <c r="G4" i="1"/>
  <c r="G5" i="1"/>
  <c r="G6" i="1"/>
  <c r="G3" i="1"/>
  <c r="AY12" i="2"/>
  <c r="AZ12" i="2"/>
  <c r="BA12" i="2"/>
  <c r="BB12" i="2"/>
  <c r="BC12" i="2"/>
  <c r="BD12" i="2"/>
  <c r="BE12" i="2"/>
  <c r="BF12" i="2"/>
  <c r="BG6" i="5"/>
  <c r="BH6" i="5"/>
  <c r="BI6" i="5"/>
  <c r="BJ6" i="5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7" i="5"/>
  <c r="BH7" i="5"/>
  <c r="BI7" i="5"/>
  <c r="D14" i="2"/>
  <c r="BJ7" i="5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8" i="5"/>
  <c r="BH8" i="5"/>
  <c r="BI8" i="5"/>
  <c r="BJ8" i="5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5" i="3"/>
  <c r="BG6" i="3"/>
  <c r="BG7" i="3"/>
  <c r="BG8" i="3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AZ2" i="2"/>
  <c r="BA2" i="2"/>
  <c r="BB2" i="2"/>
  <c r="BC2" i="2"/>
  <c r="BD2" i="2"/>
  <c r="BE2" i="2"/>
  <c r="BF2" i="2"/>
  <c r="AR2" i="2"/>
  <c r="AS2" i="2"/>
  <c r="AT2" i="2"/>
  <c r="AU2" i="2"/>
  <c r="AV2" i="2"/>
  <c r="AW2" i="2"/>
  <c r="AX2" i="2"/>
  <c r="AJ2" i="2"/>
  <c r="AK2" i="2"/>
  <c r="AL2" i="2"/>
  <c r="AM2" i="2"/>
  <c r="AN2" i="2"/>
  <c r="AO2" i="2"/>
  <c r="AP2" i="2"/>
  <c r="AB2" i="2"/>
  <c r="AC2" i="2"/>
  <c r="AD2" i="2"/>
  <c r="AE2" i="2"/>
  <c r="AF2" i="2"/>
  <c r="AG2" i="2"/>
  <c r="AH2" i="2"/>
  <c r="T2" i="2"/>
  <c r="U2" i="2"/>
  <c r="V2" i="2"/>
  <c r="W2" i="2"/>
  <c r="X2" i="2"/>
  <c r="Y2" i="2"/>
  <c r="Z2" i="2"/>
  <c r="L2" i="2"/>
  <c r="M2" i="2"/>
  <c r="N2" i="2"/>
  <c r="O2" i="2"/>
  <c r="P2" i="2"/>
  <c r="Q2" i="2"/>
  <c r="R2" i="2"/>
  <c r="D2" i="2"/>
  <c r="E2" i="2"/>
  <c r="F2" i="2"/>
  <c r="G2" i="2"/>
  <c r="H2" i="2"/>
  <c r="I2" i="2"/>
  <c r="J2" i="2"/>
  <c r="AZ2" i="5"/>
  <c r="BA2" i="5"/>
  <c r="BB2" i="5"/>
  <c r="BC2" i="5"/>
  <c r="BD2" i="5"/>
  <c r="BE2" i="5"/>
  <c r="BF2" i="5"/>
  <c r="AR2" i="5"/>
  <c r="AS2" i="5"/>
  <c r="AT2" i="5"/>
  <c r="AU2" i="5"/>
  <c r="AV2" i="5"/>
  <c r="AW2" i="5"/>
  <c r="AX2" i="5"/>
  <c r="AJ2" i="5"/>
  <c r="AK2" i="5"/>
  <c r="AL2" i="5"/>
  <c r="AM2" i="5"/>
  <c r="AN2" i="5"/>
  <c r="AO2" i="5"/>
  <c r="AP2" i="5"/>
  <c r="AB2" i="5"/>
  <c r="AC2" i="5"/>
  <c r="AD2" i="5"/>
  <c r="AE2" i="5"/>
  <c r="AF2" i="5"/>
  <c r="AG2" i="5"/>
  <c r="AH2" i="5"/>
  <c r="T2" i="5"/>
  <c r="U2" i="5"/>
  <c r="V2" i="5"/>
  <c r="W2" i="5"/>
  <c r="X2" i="5"/>
  <c r="Y2" i="5"/>
  <c r="Z2" i="5"/>
  <c r="L2" i="5"/>
  <c r="M2" i="5"/>
  <c r="N2" i="5"/>
  <c r="O2" i="5"/>
  <c r="P2" i="5"/>
  <c r="Q2" i="5"/>
  <c r="R2" i="5"/>
  <c r="D2" i="5"/>
  <c r="E2" i="5"/>
  <c r="F2" i="5"/>
  <c r="G2" i="5"/>
  <c r="H2" i="5"/>
  <c r="I2" i="5"/>
  <c r="J2" i="5"/>
  <c r="AZ2" i="3"/>
  <c r="BA2" i="3"/>
  <c r="BB2" i="3"/>
  <c r="BC2" i="3"/>
  <c r="BD2" i="3"/>
  <c r="BE2" i="3"/>
  <c r="BF2" i="3"/>
  <c r="AR2" i="3"/>
  <c r="AS2" i="3"/>
  <c r="AT2" i="3"/>
  <c r="AU2" i="3"/>
  <c r="AV2" i="3"/>
  <c r="AW2" i="3"/>
  <c r="AX2" i="3"/>
  <c r="AJ2" i="3"/>
  <c r="AK2" i="3"/>
  <c r="AL2" i="3"/>
  <c r="AM2" i="3"/>
  <c r="AN2" i="3"/>
  <c r="AO2" i="3"/>
  <c r="AP2" i="3"/>
  <c r="AB2" i="3"/>
  <c r="AC2" i="3"/>
  <c r="AD2" i="3"/>
  <c r="AE2" i="3"/>
  <c r="AF2" i="3"/>
  <c r="AG2" i="3"/>
  <c r="AH2" i="3"/>
  <c r="T2" i="3"/>
  <c r="U2" i="3"/>
  <c r="V2" i="3"/>
  <c r="W2" i="3"/>
  <c r="X2" i="3"/>
  <c r="Y2" i="3"/>
  <c r="Z2" i="3"/>
  <c r="L2" i="3"/>
  <c r="M2" i="3"/>
  <c r="N2" i="3"/>
  <c r="O2" i="3"/>
  <c r="P2" i="3"/>
  <c r="Q2" i="3"/>
  <c r="R2" i="3"/>
  <c r="J2" i="3"/>
  <c r="I2" i="3"/>
  <c r="H2" i="3"/>
  <c r="G2" i="3"/>
  <c r="D2" i="3"/>
  <c r="E2" i="3"/>
  <c r="F2" i="3"/>
  <c r="BG9" i="2"/>
  <c r="BG8" i="2"/>
  <c r="BG7" i="2"/>
  <c r="BG6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BG5" i="2"/>
  <c r="BG4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C7" i="1"/>
  <c r="B7" i="1"/>
  <c r="D4" i="1"/>
  <c r="D5" i="1"/>
  <c r="D6" i="1"/>
  <c r="D3" i="1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G18" i="2"/>
  <c r="F18" i="2"/>
  <c r="E18" i="2"/>
  <c r="C18" i="2"/>
  <c r="D18" i="2"/>
  <c r="I18" i="2"/>
  <c r="J18" i="2"/>
  <c r="K18" i="2"/>
  <c r="L18" i="2"/>
  <c r="M18" i="2"/>
  <c r="N18" i="2"/>
  <c r="O18" i="2"/>
  <c r="P18" i="2"/>
  <c r="Q18" i="2"/>
  <c r="R18" i="2"/>
  <c r="S18" i="2"/>
  <c r="T18" i="2"/>
  <c r="H18" i="2"/>
  <c r="BH6" i="2"/>
  <c r="BI6" i="2"/>
  <c r="BI7" i="2"/>
  <c r="BI8" i="2"/>
  <c r="BI9" i="2"/>
  <c r="BH7" i="2"/>
  <c r="BH8" i="2"/>
  <c r="BH9" i="2"/>
  <c r="C13" i="2"/>
  <c r="C14" i="2"/>
  <c r="C15" i="2"/>
  <c r="A4" i="1"/>
  <c r="A5" i="1"/>
  <c r="A6" i="1"/>
</calcChain>
</file>

<file path=xl/comments1.xml><?xml version="1.0" encoding="utf-8"?>
<comments xmlns="http://schemas.openxmlformats.org/spreadsheetml/2006/main">
  <authors>
    <author>Philip Thomas</author>
  </authors>
  <commentList>
    <comment ref="C5" authorId="0" shapeId="0">
      <text>
        <r>
          <rPr>
            <sz val="9"/>
            <color indexed="81"/>
            <rFont val="Calibri"/>
            <family val="2"/>
          </rPr>
          <t xml:space="preserve">Modify these to set employee availability
</t>
        </r>
      </text>
    </comment>
  </commentList>
</comments>
</file>

<file path=xl/comments2.xml><?xml version="1.0" encoding="utf-8"?>
<comments xmlns="http://schemas.openxmlformats.org/spreadsheetml/2006/main">
  <authors>
    <author>Philip Thomas</author>
  </authors>
  <commentList>
    <comment ref="C5" authorId="0" shapeId="0">
      <text>
        <r>
          <rPr>
            <sz val="9"/>
            <color indexed="81"/>
            <rFont val="Calibri"/>
            <family val="2"/>
          </rPr>
          <t xml:space="preserve">Modify these values to change preferred shifts. Note that prefernece is only considered if an employee is available during that shift.
</t>
        </r>
      </text>
    </comment>
  </commentList>
</comments>
</file>

<file path=xl/comments3.xml><?xml version="1.0" encoding="utf-8"?>
<comments xmlns="http://schemas.openxmlformats.org/spreadsheetml/2006/main">
  <authors>
    <author>Philip Thomas</author>
  </authors>
  <commentList>
    <comment ref="C6" authorId="0" shapeId="0">
      <text>
        <r>
          <rPr>
            <sz val="9"/>
            <color indexed="81"/>
            <rFont val="Calibri"/>
            <family val="2"/>
          </rPr>
          <t>This is the computed work schedule</t>
        </r>
      </text>
    </comment>
  </commentList>
</comments>
</file>

<file path=xl/sharedStrings.xml><?xml version="1.0" encoding="utf-8"?>
<sst xmlns="http://schemas.openxmlformats.org/spreadsheetml/2006/main" count="224" uniqueCount="41">
  <si>
    <t>Employee</t>
  </si>
  <si>
    <t>SUM</t>
  </si>
  <si>
    <t>Readable Shift</t>
  </si>
  <si>
    <t>Required Employees</t>
  </si>
  <si>
    <t>Employee Working?</t>
  </si>
  <si>
    <t>Max</t>
  </si>
  <si>
    <t>Min</t>
  </si>
  <si>
    <t>Shifts/Week</t>
  </si>
  <si>
    <t>Weighted Preference</t>
  </si>
  <si>
    <t>Day of Week</t>
  </si>
  <si>
    <t>Shift of Day</t>
  </si>
  <si>
    <t>Alpha</t>
  </si>
  <si>
    <t>Beta</t>
  </si>
  <si>
    <t>Pref</t>
  </si>
  <si>
    <t>Neg</t>
  </si>
  <si>
    <t>Objective Function</t>
  </si>
  <si>
    <t>Count</t>
  </si>
  <si>
    <t>Prefix</t>
  </si>
  <si>
    <t>Working</t>
  </si>
  <si>
    <t>LB</t>
  </si>
  <si>
    <t>UB</t>
  </si>
  <si>
    <t>Shift limit per day</t>
  </si>
  <si>
    <t>Scheduled to work</t>
  </si>
  <si>
    <t>Number of shifts working in last day</t>
  </si>
  <si>
    <t>Nedelja</t>
  </si>
  <si>
    <t>Ponedeljak</t>
  </si>
  <si>
    <t>Utorak</t>
  </si>
  <si>
    <t>Sreda</t>
  </si>
  <si>
    <t>Cetvrtak</t>
  </si>
  <si>
    <t>Petak</t>
  </si>
  <si>
    <t>Subota</t>
  </si>
  <si>
    <t>10AM-1PM</t>
  </si>
  <si>
    <t>1PM-4PM</t>
  </si>
  <si>
    <t>4PM-7PM</t>
  </si>
  <si>
    <t>7PM-10PM</t>
  </si>
  <si>
    <t>10PM-1AM</t>
  </si>
  <si>
    <t>1AM-4AM</t>
  </si>
  <si>
    <t>4AM-7AM</t>
  </si>
  <si>
    <t>7AM-10AM</t>
  </si>
  <si>
    <t>Sati Nedeljno</t>
  </si>
  <si>
    <t>Smena nedeljno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</si>
</sst>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i/>
      <sz val="12"/>
      <color theme="1"/>
      <name val="Calibri"/>
      <scheme val="minor"/>
    </font>
    <font>
      <b/>
      <i/>
      <sz val="12"/>
      <color theme="1"/>
      <name val="Calibri"/>
      <scheme val="minor"/>
    </font>
    <font>
      <sz val="9"/>
      <color indexed="81"/>
      <name val="Calibri"/>
      <family val="2"/>
    </font>
    <font>
      <sz val="12"/>
      <name val="Calibri"/>
      <family val="2"/>
      <charset val="238"/>
      <scheme val="minor"/>
    </font>
    <font>
      <sz val="1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E26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5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2">
    <xf numFmtId="0" fontId="0" fillId="0" borderId="0" xfId="0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6" fillId="8" borderId="0" xfId="0" applyFont="1" applyFill="1"/>
    <xf numFmtId="0" fontId="3" fillId="8" borderId="0" xfId="0" applyFont="1" applyFill="1"/>
    <xf numFmtId="0" fontId="3" fillId="0" borderId="0" xfId="0" applyFont="1"/>
    <xf numFmtId="0" fontId="7" fillId="8" borderId="0" xfId="0" applyFont="1" applyFill="1"/>
    <xf numFmtId="0" fontId="3" fillId="11" borderId="0" xfId="0" applyFont="1" applyFill="1"/>
    <xf numFmtId="0" fontId="1" fillId="2" borderId="0" xfId="1"/>
    <xf numFmtId="0" fontId="2" fillId="3" borderId="0" xfId="2"/>
    <xf numFmtId="0" fontId="0" fillId="4" borderId="0" xfId="0" applyFill="1"/>
    <xf numFmtId="0" fontId="7" fillId="0" borderId="0" xfId="0" applyFont="1"/>
    <xf numFmtId="0" fontId="0" fillId="14" borderId="0" xfId="0" applyFill="1"/>
    <xf numFmtId="0" fontId="0" fillId="4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Fill="1"/>
    <xf numFmtId="0" fontId="3" fillId="0" borderId="0" xfId="0" applyFont="1" applyFill="1"/>
    <xf numFmtId="0" fontId="6" fillId="0" borderId="0" xfId="0" applyFont="1" applyFill="1"/>
    <xf numFmtId="0" fontId="7" fillId="0" borderId="0" xfId="0" applyFont="1" applyFill="1"/>
    <xf numFmtId="0" fontId="8" fillId="0" borderId="0" xfId="0" applyFont="1" applyFill="1"/>
    <xf numFmtId="0" fontId="0" fillId="8" borderId="0" xfId="0" applyFont="1" applyFill="1"/>
    <xf numFmtId="0" fontId="0" fillId="0" borderId="0" xfId="0" applyAlignment="1">
      <alignment horizontal="center"/>
    </xf>
    <xf numFmtId="0" fontId="6" fillId="5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0" fillId="8" borderId="0" xfId="0" applyFill="1" applyAlignment="1">
      <alignment textRotation="90"/>
    </xf>
    <xf numFmtId="0" fontId="10" fillId="5" borderId="0" xfId="0" applyFont="1" applyFill="1" applyAlignment="1">
      <alignment horizontal="center"/>
    </xf>
    <xf numFmtId="0" fontId="10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10" fillId="8" borderId="0" xfId="0" applyFont="1" applyFill="1"/>
    <xf numFmtId="0" fontId="11" fillId="15" borderId="0" xfId="0" applyFont="1" applyFill="1"/>
  </cellXfs>
  <cellStyles count="59">
    <cellStyle name="Bad" xfId="2" builtinId="27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Good" xfId="1" builtinId="26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workbookViewId="0">
      <selection activeCell="F31" sqref="F31"/>
    </sheetView>
  </sheetViews>
  <sheetFormatPr defaultColWidth="11" defaultRowHeight="15.75" x14ac:dyDescent="0.25"/>
  <sheetData>
    <row r="1" spans="1:7" x14ac:dyDescent="0.25">
      <c r="B1" s="23" t="s">
        <v>7</v>
      </c>
      <c r="C1" s="23"/>
    </row>
    <row r="2" spans="1:7" x14ac:dyDescent="0.25">
      <c r="A2" t="s">
        <v>0</v>
      </c>
      <c r="B2" s="14" t="s">
        <v>6</v>
      </c>
      <c r="C2" s="14" t="s">
        <v>5</v>
      </c>
      <c r="D2" s="13" t="s">
        <v>22</v>
      </c>
      <c r="F2" t="s">
        <v>39</v>
      </c>
      <c r="G2" t="s">
        <v>40</v>
      </c>
    </row>
    <row r="3" spans="1:7" x14ac:dyDescent="0.25">
      <c r="A3" s="14">
        <v>1</v>
      </c>
      <c r="B3" s="12">
        <v>12</v>
      </c>
      <c r="C3" s="12">
        <v>14</v>
      </c>
      <c r="D3" s="13">
        <f>Assignments!BG6</f>
        <v>14</v>
      </c>
      <c r="F3">
        <v>40</v>
      </c>
      <c r="G3">
        <f>F3/3</f>
        <v>13.333333333333334</v>
      </c>
    </row>
    <row r="4" spans="1:7" x14ac:dyDescent="0.25">
      <c r="A4" s="14">
        <f>1+A3</f>
        <v>2</v>
      </c>
      <c r="B4" s="12">
        <v>12</v>
      </c>
      <c r="C4" s="12">
        <v>14</v>
      </c>
      <c r="D4" s="13">
        <f>Assignments!BG7</f>
        <v>14</v>
      </c>
      <c r="F4">
        <v>40</v>
      </c>
      <c r="G4">
        <f t="shared" ref="G4:G6" si="0">F4/3</f>
        <v>13.333333333333334</v>
      </c>
    </row>
    <row r="5" spans="1:7" x14ac:dyDescent="0.25">
      <c r="A5" s="14">
        <f t="shared" ref="A5:A6" si="1">1+A4</f>
        <v>3</v>
      </c>
      <c r="B5" s="12">
        <v>12</v>
      </c>
      <c r="C5" s="12">
        <v>14</v>
      </c>
      <c r="D5" s="13">
        <f>Assignments!BG8</f>
        <v>14</v>
      </c>
      <c r="F5">
        <v>40</v>
      </c>
      <c r="G5">
        <f t="shared" si="0"/>
        <v>13.333333333333334</v>
      </c>
    </row>
    <row r="6" spans="1:7" x14ac:dyDescent="0.25">
      <c r="A6" s="14">
        <f t="shared" si="1"/>
        <v>4</v>
      </c>
      <c r="B6" s="12">
        <v>12</v>
      </c>
      <c r="C6" s="12">
        <v>14</v>
      </c>
      <c r="D6" s="13">
        <f>Assignments!BG9</f>
        <v>14</v>
      </c>
      <c r="F6">
        <v>40</v>
      </c>
      <c r="G6">
        <f t="shared" si="0"/>
        <v>13.333333333333334</v>
      </c>
    </row>
    <row r="7" spans="1:7" x14ac:dyDescent="0.25">
      <c r="A7" s="17" t="s">
        <v>1</v>
      </c>
      <c r="B7" s="17">
        <f>SUM(B3:B6)</f>
        <v>48</v>
      </c>
      <c r="C7" s="17">
        <f>SUM(C3:C6)</f>
        <v>56</v>
      </c>
      <c r="D7" s="20"/>
      <c r="F7">
        <f>SUM(F3:F6)</f>
        <v>160</v>
      </c>
      <c r="G7">
        <f>SUM(G3:G6)</f>
        <v>53.333333333333336</v>
      </c>
    </row>
    <row r="8" spans="1:7" x14ac:dyDescent="0.25">
      <c r="A8" s="17"/>
      <c r="D8" s="20"/>
    </row>
    <row r="9" spans="1:7" x14ac:dyDescent="0.25">
      <c r="A9" s="17"/>
      <c r="B9" s="17"/>
      <c r="C9" s="17"/>
      <c r="D9" s="20"/>
    </row>
    <row r="10" spans="1:7" x14ac:dyDescent="0.25">
      <c r="A10" s="17"/>
      <c r="B10" s="17"/>
      <c r="C10" s="17"/>
      <c r="D10" s="20"/>
    </row>
    <row r="11" spans="1:7" x14ac:dyDescent="0.25">
      <c r="A11" s="17"/>
      <c r="B11" s="17"/>
      <c r="C11" s="17"/>
      <c r="D11" s="20"/>
    </row>
    <row r="12" spans="1:7" x14ac:dyDescent="0.25">
      <c r="A12" s="17"/>
      <c r="B12" s="17"/>
      <c r="C12" s="17"/>
      <c r="D12" s="20"/>
    </row>
    <row r="13" spans="1:7" x14ac:dyDescent="0.25">
      <c r="A13" s="17"/>
      <c r="B13" s="17"/>
      <c r="C13" s="17"/>
      <c r="D13" s="20"/>
    </row>
    <row r="14" spans="1:7" x14ac:dyDescent="0.25">
      <c r="A14" s="17"/>
      <c r="B14" s="17"/>
      <c r="C14" s="17"/>
      <c r="D14" s="20"/>
    </row>
    <row r="15" spans="1:7" x14ac:dyDescent="0.25">
      <c r="A15" s="17"/>
      <c r="B15" s="17"/>
      <c r="C15" s="17"/>
      <c r="D15" s="20"/>
    </row>
    <row r="16" spans="1:7" x14ac:dyDescent="0.25">
      <c r="A16" s="17"/>
      <c r="B16" s="17"/>
      <c r="C16" s="17"/>
      <c r="D16" s="17"/>
    </row>
  </sheetData>
  <mergeCells count="1">
    <mergeCell ref="B1:C1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G17"/>
  <sheetViews>
    <sheetView workbookViewId="0">
      <selection activeCell="C5" sqref="C5"/>
    </sheetView>
  </sheetViews>
  <sheetFormatPr defaultColWidth="11" defaultRowHeight="15.75" x14ac:dyDescent="0.25"/>
  <cols>
    <col min="3" max="58" width="3.5" customWidth="1"/>
  </cols>
  <sheetData>
    <row r="1" spans="1:59" x14ac:dyDescent="0.25">
      <c r="A1" t="s">
        <v>9</v>
      </c>
      <c r="C1" s="24" t="s">
        <v>24</v>
      </c>
      <c r="D1" s="24"/>
      <c r="E1" s="24"/>
      <c r="F1" s="24"/>
      <c r="G1" s="24"/>
      <c r="H1" s="24"/>
      <c r="I1" s="24"/>
      <c r="J1" s="24"/>
      <c r="K1" s="28" t="s">
        <v>25</v>
      </c>
      <c r="L1" s="29"/>
      <c r="M1" s="29"/>
      <c r="N1" s="29"/>
      <c r="O1" s="29"/>
      <c r="P1" s="29"/>
      <c r="Q1" s="29"/>
      <c r="R1" s="29"/>
      <c r="S1" s="27" t="s">
        <v>26</v>
      </c>
      <c r="T1" s="24"/>
      <c r="U1" s="24"/>
      <c r="V1" s="24"/>
      <c r="W1" s="24"/>
      <c r="X1" s="24"/>
      <c r="Y1" s="24"/>
      <c r="Z1" s="24"/>
      <c r="AA1" s="28" t="s">
        <v>27</v>
      </c>
      <c r="AB1" s="29"/>
      <c r="AC1" s="29"/>
      <c r="AD1" s="29"/>
      <c r="AE1" s="29"/>
      <c r="AF1" s="29"/>
      <c r="AG1" s="29"/>
      <c r="AH1" s="29"/>
      <c r="AI1" s="27" t="s">
        <v>28</v>
      </c>
      <c r="AJ1" s="24"/>
      <c r="AK1" s="24"/>
      <c r="AL1" s="24"/>
      <c r="AM1" s="24"/>
      <c r="AN1" s="24"/>
      <c r="AO1" s="24"/>
      <c r="AP1" s="24"/>
      <c r="AQ1" s="28" t="s">
        <v>29</v>
      </c>
      <c r="AR1" s="29"/>
      <c r="AS1" s="29"/>
      <c r="AT1" s="29"/>
      <c r="AU1" s="29"/>
      <c r="AV1" s="29"/>
      <c r="AW1" s="29"/>
      <c r="AX1" s="29"/>
      <c r="AY1" s="27" t="s">
        <v>30</v>
      </c>
      <c r="AZ1" s="24"/>
      <c r="BA1" s="24"/>
      <c r="BB1" s="24"/>
      <c r="BC1" s="24"/>
      <c r="BD1" s="24"/>
      <c r="BE1" s="24"/>
      <c r="BF1" s="24"/>
    </row>
    <row r="2" spans="1:59" x14ac:dyDescent="0.25">
      <c r="A2" t="s">
        <v>10</v>
      </c>
      <c r="C2" s="1">
        <v>5</v>
      </c>
      <c r="D2" s="1">
        <f>MOD(C2,8)+1</f>
        <v>6</v>
      </c>
      <c r="E2" s="1">
        <f>MOD(D2,8)+1</f>
        <v>7</v>
      </c>
      <c r="F2" s="1">
        <f>MOD(E2,8)+1</f>
        <v>8</v>
      </c>
      <c r="G2" s="3">
        <f>MOD(F2,8)+1</f>
        <v>1</v>
      </c>
      <c r="H2" s="3">
        <f>MOD(G2,8)+1</f>
        <v>2</v>
      </c>
      <c r="I2" s="3">
        <f>MOD(H2,8)+1</f>
        <v>3</v>
      </c>
      <c r="J2" s="1">
        <f>MOD(I2,8)+1</f>
        <v>4</v>
      </c>
      <c r="K2" s="1">
        <v>5</v>
      </c>
      <c r="L2" s="1">
        <f>MOD(K2,8)+1</f>
        <v>6</v>
      </c>
      <c r="M2" s="1">
        <f>MOD(L2,8)+1</f>
        <v>7</v>
      </c>
      <c r="N2" s="1">
        <f>MOD(M2,8)+1</f>
        <v>8</v>
      </c>
      <c r="O2" s="3">
        <f>MOD(N2,8)+1</f>
        <v>1</v>
      </c>
      <c r="P2" s="3">
        <f>MOD(O2,8)+1</f>
        <v>2</v>
      </c>
      <c r="Q2" s="3">
        <f>MOD(P2,8)+1</f>
        <v>3</v>
      </c>
      <c r="R2" s="1">
        <f>MOD(Q2,8)+1</f>
        <v>4</v>
      </c>
      <c r="S2" s="1">
        <v>5</v>
      </c>
      <c r="T2" s="1">
        <f>MOD(S2,8)+1</f>
        <v>6</v>
      </c>
      <c r="U2" s="1">
        <f>MOD(T2,8)+1</f>
        <v>7</v>
      </c>
      <c r="V2" s="1">
        <f>MOD(U2,8)+1</f>
        <v>8</v>
      </c>
      <c r="W2" s="3">
        <f>MOD(V2,8)+1</f>
        <v>1</v>
      </c>
      <c r="X2" s="3">
        <f>MOD(W2,8)+1</f>
        <v>2</v>
      </c>
      <c r="Y2" s="3">
        <f>MOD(X2,8)+1</f>
        <v>3</v>
      </c>
      <c r="Z2" s="1">
        <f>MOD(Y2,8)+1</f>
        <v>4</v>
      </c>
      <c r="AA2" s="1">
        <v>5</v>
      </c>
      <c r="AB2" s="1">
        <f>MOD(AA2,8)+1</f>
        <v>6</v>
      </c>
      <c r="AC2" s="1">
        <f>MOD(AB2,8)+1</f>
        <v>7</v>
      </c>
      <c r="AD2" s="1">
        <f>MOD(AC2,8)+1</f>
        <v>8</v>
      </c>
      <c r="AE2" s="3">
        <f>MOD(AD2,8)+1</f>
        <v>1</v>
      </c>
      <c r="AF2" s="3">
        <f>MOD(AE2,8)+1</f>
        <v>2</v>
      </c>
      <c r="AG2" s="3">
        <f>MOD(AF2,8)+1</f>
        <v>3</v>
      </c>
      <c r="AH2" s="1">
        <f>MOD(AG2,8)+1</f>
        <v>4</v>
      </c>
      <c r="AI2" s="1">
        <v>5</v>
      </c>
      <c r="AJ2" s="1">
        <f>MOD(AI2,8)+1</f>
        <v>6</v>
      </c>
      <c r="AK2" s="1">
        <f>MOD(AJ2,8)+1</f>
        <v>7</v>
      </c>
      <c r="AL2" s="1">
        <f>MOD(AK2,8)+1</f>
        <v>8</v>
      </c>
      <c r="AM2" s="3">
        <f>MOD(AL2,8)+1</f>
        <v>1</v>
      </c>
      <c r="AN2" s="3">
        <f>MOD(AM2,8)+1</f>
        <v>2</v>
      </c>
      <c r="AO2" s="3">
        <f>MOD(AN2,8)+1</f>
        <v>3</v>
      </c>
      <c r="AP2" s="1">
        <f>MOD(AO2,8)+1</f>
        <v>4</v>
      </c>
      <c r="AQ2" s="1">
        <v>5</v>
      </c>
      <c r="AR2" s="1">
        <f>MOD(AQ2,8)+1</f>
        <v>6</v>
      </c>
      <c r="AS2" s="1">
        <f>MOD(AR2,8)+1</f>
        <v>7</v>
      </c>
      <c r="AT2" s="1">
        <f>MOD(AS2,8)+1</f>
        <v>8</v>
      </c>
      <c r="AU2" s="3">
        <f>MOD(AT2,8)+1</f>
        <v>1</v>
      </c>
      <c r="AV2" s="3">
        <f>MOD(AU2,8)+1</f>
        <v>2</v>
      </c>
      <c r="AW2" s="3">
        <f>MOD(AV2,8)+1</f>
        <v>3</v>
      </c>
      <c r="AX2" s="1">
        <f>MOD(AW2,8)+1</f>
        <v>4</v>
      </c>
      <c r="AY2" s="1">
        <v>5</v>
      </c>
      <c r="AZ2" s="1">
        <f>MOD(AY2,8)+1</f>
        <v>6</v>
      </c>
      <c r="BA2" s="1">
        <f>MOD(AZ2,8)+1</f>
        <v>7</v>
      </c>
      <c r="BB2" s="1">
        <f>MOD(BA2,8)+1</f>
        <v>8</v>
      </c>
      <c r="BC2" s="3">
        <f>MOD(BB2,8)+1</f>
        <v>1</v>
      </c>
      <c r="BD2" s="3">
        <f>MOD(BC2,8)+1</f>
        <v>2</v>
      </c>
      <c r="BE2" s="3">
        <f>MOD(BD2,8)+1</f>
        <v>3</v>
      </c>
      <c r="BF2" s="1">
        <f>MOD(BE2,8)+1</f>
        <v>4</v>
      </c>
    </row>
    <row r="3" spans="1:59" ht="60" x14ac:dyDescent="0.25">
      <c r="A3" s="2" t="s">
        <v>2</v>
      </c>
      <c r="B3" s="2"/>
      <c r="C3" s="26" t="s">
        <v>35</v>
      </c>
      <c r="D3" s="26" t="s">
        <v>36</v>
      </c>
      <c r="E3" s="26" t="s">
        <v>37</v>
      </c>
      <c r="F3" s="26" t="s">
        <v>38</v>
      </c>
      <c r="G3" s="26" t="s">
        <v>31</v>
      </c>
      <c r="H3" s="26" t="s">
        <v>32</v>
      </c>
      <c r="I3" s="26" t="s">
        <v>33</v>
      </c>
      <c r="J3" s="26" t="s">
        <v>34</v>
      </c>
      <c r="K3" s="26" t="s">
        <v>35</v>
      </c>
      <c r="L3" s="26" t="s">
        <v>36</v>
      </c>
      <c r="M3" s="26" t="s">
        <v>37</v>
      </c>
      <c r="N3" s="26" t="s">
        <v>38</v>
      </c>
      <c r="O3" s="26" t="s">
        <v>31</v>
      </c>
      <c r="P3" s="26" t="s">
        <v>32</v>
      </c>
      <c r="Q3" s="26" t="s">
        <v>33</v>
      </c>
      <c r="R3" s="26" t="s">
        <v>34</v>
      </c>
      <c r="S3" s="26" t="s">
        <v>35</v>
      </c>
      <c r="T3" s="26" t="s">
        <v>36</v>
      </c>
      <c r="U3" s="26" t="s">
        <v>37</v>
      </c>
      <c r="V3" s="26" t="s">
        <v>38</v>
      </c>
      <c r="W3" s="26" t="s">
        <v>31</v>
      </c>
      <c r="X3" s="26" t="s">
        <v>32</v>
      </c>
      <c r="Y3" s="26" t="s">
        <v>33</v>
      </c>
      <c r="Z3" s="26" t="s">
        <v>34</v>
      </c>
      <c r="AA3" s="26" t="s">
        <v>35</v>
      </c>
      <c r="AB3" s="26" t="s">
        <v>36</v>
      </c>
      <c r="AC3" s="26" t="s">
        <v>37</v>
      </c>
      <c r="AD3" s="26" t="s">
        <v>38</v>
      </c>
      <c r="AE3" s="26" t="s">
        <v>31</v>
      </c>
      <c r="AF3" s="26" t="s">
        <v>32</v>
      </c>
      <c r="AG3" s="26" t="s">
        <v>33</v>
      </c>
      <c r="AH3" s="26" t="s">
        <v>34</v>
      </c>
      <c r="AI3" s="26" t="s">
        <v>35</v>
      </c>
      <c r="AJ3" s="26" t="s">
        <v>36</v>
      </c>
      <c r="AK3" s="26" t="s">
        <v>37</v>
      </c>
      <c r="AL3" s="26" t="s">
        <v>38</v>
      </c>
      <c r="AM3" s="26" t="s">
        <v>31</v>
      </c>
      <c r="AN3" s="26" t="s">
        <v>32</v>
      </c>
      <c r="AO3" s="26" t="s">
        <v>33</v>
      </c>
      <c r="AP3" s="26" t="s">
        <v>34</v>
      </c>
      <c r="AQ3" s="26" t="s">
        <v>35</v>
      </c>
      <c r="AR3" s="26" t="s">
        <v>36</v>
      </c>
      <c r="AS3" s="26" t="s">
        <v>37</v>
      </c>
      <c r="AT3" s="26" t="s">
        <v>38</v>
      </c>
      <c r="AU3" s="26" t="s">
        <v>31</v>
      </c>
      <c r="AV3" s="26" t="s">
        <v>32</v>
      </c>
      <c r="AW3" s="26" t="s">
        <v>33</v>
      </c>
      <c r="AX3" s="26" t="s">
        <v>34</v>
      </c>
      <c r="AY3" s="26" t="s">
        <v>35</v>
      </c>
      <c r="AZ3" s="26" t="s">
        <v>36</v>
      </c>
      <c r="BA3" s="26" t="s">
        <v>37</v>
      </c>
      <c r="BB3" s="26" t="s">
        <v>38</v>
      </c>
      <c r="BC3" s="26" t="s">
        <v>31</v>
      </c>
      <c r="BD3" s="26" t="s">
        <v>32</v>
      </c>
      <c r="BE3" s="26" t="s">
        <v>33</v>
      </c>
      <c r="BF3" s="26" t="s">
        <v>34</v>
      </c>
    </row>
    <row r="4" spans="1:59" x14ac:dyDescent="0.25">
      <c r="B4" s="8" t="s">
        <v>0</v>
      </c>
      <c r="C4" s="2"/>
      <c r="D4" s="2"/>
      <c r="E4" s="2"/>
      <c r="F4" s="2"/>
      <c r="G4" s="2"/>
      <c r="H4" s="2"/>
      <c r="I4" s="2"/>
      <c r="J4" s="2"/>
      <c r="K4" s="2"/>
      <c r="L4" s="2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BG4" s="17" t="s">
        <v>1</v>
      </c>
    </row>
    <row r="5" spans="1:59" x14ac:dyDescent="0.25">
      <c r="A5" s="7"/>
      <c r="B5" s="4">
        <v>1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0</v>
      </c>
      <c r="N5" s="5">
        <v>0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0</v>
      </c>
      <c r="V5" s="5">
        <v>0</v>
      </c>
      <c r="W5" s="5">
        <v>1</v>
      </c>
      <c r="X5" s="5">
        <v>1</v>
      </c>
      <c r="Y5" s="5">
        <v>1</v>
      </c>
      <c r="Z5" s="5">
        <v>1</v>
      </c>
      <c r="AA5" s="5">
        <v>1</v>
      </c>
      <c r="AB5" s="5">
        <v>1</v>
      </c>
      <c r="AC5" s="5">
        <v>0</v>
      </c>
      <c r="AD5" s="5">
        <v>0</v>
      </c>
      <c r="AE5" s="5">
        <v>1</v>
      </c>
      <c r="AF5" s="5">
        <v>1</v>
      </c>
      <c r="AG5" s="5">
        <v>1</v>
      </c>
      <c r="AH5" s="5">
        <v>1</v>
      </c>
      <c r="AI5" s="5">
        <v>1</v>
      </c>
      <c r="AJ5" s="5">
        <v>1</v>
      </c>
      <c r="AK5" s="5">
        <v>0</v>
      </c>
      <c r="AL5" s="5">
        <v>0</v>
      </c>
      <c r="AM5" s="5">
        <v>1</v>
      </c>
      <c r="AN5" s="5">
        <v>1</v>
      </c>
      <c r="AO5" s="5">
        <v>1</v>
      </c>
      <c r="AP5" s="5">
        <v>1</v>
      </c>
      <c r="AQ5" s="5">
        <v>1</v>
      </c>
      <c r="AR5" s="5">
        <v>1</v>
      </c>
      <c r="AS5" s="5">
        <v>0</v>
      </c>
      <c r="AT5" s="5">
        <v>0</v>
      </c>
      <c r="AU5" s="5">
        <v>1</v>
      </c>
      <c r="AV5" s="5">
        <v>1</v>
      </c>
      <c r="AW5" s="5">
        <v>1</v>
      </c>
      <c r="AX5" s="5">
        <v>1</v>
      </c>
      <c r="AY5" s="5">
        <v>1</v>
      </c>
      <c r="AZ5" s="5">
        <v>1</v>
      </c>
      <c r="BA5" s="5">
        <v>0</v>
      </c>
      <c r="BB5" s="5">
        <v>0</v>
      </c>
      <c r="BC5" s="5">
        <v>1</v>
      </c>
      <c r="BD5" s="5">
        <v>1</v>
      </c>
      <c r="BE5" s="5">
        <v>1</v>
      </c>
      <c r="BF5" s="5">
        <v>1</v>
      </c>
      <c r="BG5" s="19">
        <f>SUM(C5:BF5)</f>
        <v>42</v>
      </c>
    </row>
    <row r="6" spans="1:59" x14ac:dyDescent="0.25">
      <c r="B6" s="4">
        <v>2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0</v>
      </c>
      <c r="N6" s="5">
        <v>0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0</v>
      </c>
      <c r="V6" s="5">
        <v>0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0</v>
      </c>
      <c r="AD6" s="5">
        <v>0</v>
      </c>
      <c r="AE6" s="5">
        <v>1</v>
      </c>
      <c r="AF6" s="5">
        <v>1</v>
      </c>
      <c r="AG6" s="5">
        <v>1</v>
      </c>
      <c r="AH6" s="5">
        <v>1</v>
      </c>
      <c r="AI6" s="5">
        <v>1</v>
      </c>
      <c r="AJ6" s="5">
        <v>1</v>
      </c>
      <c r="AK6" s="5">
        <v>0</v>
      </c>
      <c r="AL6" s="5">
        <v>0</v>
      </c>
      <c r="AM6" s="5">
        <v>1</v>
      </c>
      <c r="AN6" s="5">
        <v>1</v>
      </c>
      <c r="AO6" s="5">
        <v>1</v>
      </c>
      <c r="AP6" s="5">
        <v>1</v>
      </c>
      <c r="AQ6" s="5">
        <v>1</v>
      </c>
      <c r="AR6" s="5">
        <v>1</v>
      </c>
      <c r="AS6" s="5">
        <v>0</v>
      </c>
      <c r="AT6" s="5">
        <v>0</v>
      </c>
      <c r="AU6" s="5">
        <v>1</v>
      </c>
      <c r="AV6" s="5">
        <v>1</v>
      </c>
      <c r="AW6" s="5">
        <v>1</v>
      </c>
      <c r="AX6" s="5">
        <v>1</v>
      </c>
      <c r="AY6" s="5">
        <v>1</v>
      </c>
      <c r="AZ6" s="5">
        <v>1</v>
      </c>
      <c r="BA6" s="5">
        <v>0</v>
      </c>
      <c r="BB6" s="5">
        <v>0</v>
      </c>
      <c r="BC6" s="5">
        <v>1</v>
      </c>
      <c r="BD6" s="5">
        <v>1</v>
      </c>
      <c r="BE6" s="5">
        <v>1</v>
      </c>
      <c r="BF6" s="5">
        <v>1</v>
      </c>
      <c r="BG6" s="19">
        <f>SUM(C6:BF6)</f>
        <v>42</v>
      </c>
    </row>
    <row r="7" spans="1:59" x14ac:dyDescent="0.25">
      <c r="B7" s="4">
        <v>3</v>
      </c>
      <c r="C7" s="5">
        <v>1</v>
      </c>
      <c r="D7" s="5">
        <v>1</v>
      </c>
      <c r="E7" s="5">
        <v>0</v>
      </c>
      <c r="F7" s="5">
        <v>0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0</v>
      </c>
      <c r="N7" s="5">
        <v>0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0</v>
      </c>
      <c r="V7" s="5">
        <v>0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0</v>
      </c>
      <c r="AD7" s="5">
        <v>0</v>
      </c>
      <c r="AE7" s="5">
        <v>1</v>
      </c>
      <c r="AF7" s="5">
        <v>1</v>
      </c>
      <c r="AG7" s="5">
        <v>1</v>
      </c>
      <c r="AH7" s="5">
        <v>1</v>
      </c>
      <c r="AI7" s="5">
        <v>1</v>
      </c>
      <c r="AJ7" s="5">
        <v>1</v>
      </c>
      <c r="AK7" s="5">
        <v>0</v>
      </c>
      <c r="AL7" s="5">
        <v>0</v>
      </c>
      <c r="AM7" s="5">
        <v>1</v>
      </c>
      <c r="AN7" s="5">
        <v>1</v>
      </c>
      <c r="AO7" s="5">
        <v>1</v>
      </c>
      <c r="AP7" s="5">
        <v>1</v>
      </c>
      <c r="AQ7" s="5">
        <v>1</v>
      </c>
      <c r="AR7" s="5">
        <v>1</v>
      </c>
      <c r="AS7" s="5">
        <v>0</v>
      </c>
      <c r="AT7" s="5">
        <v>0</v>
      </c>
      <c r="AU7" s="5">
        <v>1</v>
      </c>
      <c r="AV7" s="5">
        <v>1</v>
      </c>
      <c r="AW7" s="5">
        <v>1</v>
      </c>
      <c r="AX7" s="5">
        <v>1</v>
      </c>
      <c r="AY7" s="5">
        <v>1</v>
      </c>
      <c r="AZ7" s="5">
        <v>1</v>
      </c>
      <c r="BA7" s="5">
        <v>0</v>
      </c>
      <c r="BB7" s="5">
        <v>0</v>
      </c>
      <c r="BC7" s="5">
        <v>1</v>
      </c>
      <c r="BD7" s="5">
        <v>1</v>
      </c>
      <c r="BE7" s="5">
        <v>1</v>
      </c>
      <c r="BF7" s="5">
        <v>1</v>
      </c>
      <c r="BG7" s="19">
        <f>SUM(C7:BF7)</f>
        <v>42</v>
      </c>
    </row>
    <row r="8" spans="1:59" x14ac:dyDescent="0.25">
      <c r="B8" s="4">
        <v>4</v>
      </c>
      <c r="C8" s="5">
        <v>1</v>
      </c>
      <c r="D8" s="5">
        <v>1</v>
      </c>
      <c r="E8" s="5">
        <v>0</v>
      </c>
      <c r="F8" s="5">
        <v>0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0</v>
      </c>
      <c r="N8" s="5">
        <v>0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0</v>
      </c>
      <c r="V8" s="5">
        <v>0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0</v>
      </c>
      <c r="AD8" s="5">
        <v>0</v>
      </c>
      <c r="AE8" s="5">
        <v>1</v>
      </c>
      <c r="AF8" s="5">
        <v>1</v>
      </c>
      <c r="AG8" s="5">
        <v>1</v>
      </c>
      <c r="AH8" s="5">
        <v>1</v>
      </c>
      <c r="AI8" s="5">
        <v>1</v>
      </c>
      <c r="AJ8" s="5">
        <v>1</v>
      </c>
      <c r="AK8" s="5">
        <v>0</v>
      </c>
      <c r="AL8" s="5">
        <v>0</v>
      </c>
      <c r="AM8" s="5">
        <v>1</v>
      </c>
      <c r="AN8" s="5">
        <v>1</v>
      </c>
      <c r="AO8" s="5">
        <v>1</v>
      </c>
      <c r="AP8" s="5">
        <v>1</v>
      </c>
      <c r="AQ8" s="5">
        <v>1</v>
      </c>
      <c r="AR8" s="5">
        <v>1</v>
      </c>
      <c r="AS8" s="5">
        <v>0</v>
      </c>
      <c r="AT8" s="5">
        <v>0</v>
      </c>
      <c r="AU8" s="5">
        <v>1</v>
      </c>
      <c r="AV8" s="5">
        <v>1</v>
      </c>
      <c r="AW8" s="5">
        <v>1</v>
      </c>
      <c r="AX8" s="5">
        <v>1</v>
      </c>
      <c r="AY8" s="5">
        <v>1</v>
      </c>
      <c r="AZ8" s="5">
        <v>1</v>
      </c>
      <c r="BA8" s="5">
        <v>0</v>
      </c>
      <c r="BB8" s="5">
        <v>0</v>
      </c>
      <c r="BC8" s="5">
        <v>1</v>
      </c>
      <c r="BD8" s="5">
        <v>1</v>
      </c>
      <c r="BE8" s="5">
        <v>1</v>
      </c>
      <c r="BF8" s="5">
        <v>1</v>
      </c>
      <c r="BG8" s="19">
        <f>SUM(C8:BF8)</f>
        <v>42</v>
      </c>
    </row>
    <row r="9" spans="1:59" x14ac:dyDescent="0.25">
      <c r="B9" s="17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</row>
    <row r="10" spans="1:59" x14ac:dyDescent="0.25">
      <c r="B10" s="17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</row>
    <row r="11" spans="1:59" x14ac:dyDescent="0.25">
      <c r="B11" s="17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</row>
    <row r="12" spans="1:59" x14ac:dyDescent="0.25">
      <c r="B12" s="17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</row>
    <row r="13" spans="1:59" x14ac:dyDescent="0.25">
      <c r="B13" s="17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</row>
    <row r="14" spans="1:59" x14ac:dyDescent="0.25">
      <c r="B14" s="17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</row>
    <row r="15" spans="1:59" x14ac:dyDescent="0.25">
      <c r="B15" s="17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</row>
    <row r="16" spans="1:59" x14ac:dyDescent="0.25">
      <c r="B16" s="17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</row>
    <row r="17" spans="2:47" x14ac:dyDescent="0.25">
      <c r="B17" s="17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</row>
  </sheetData>
  <mergeCells count="7">
    <mergeCell ref="AY1:BF1"/>
    <mergeCell ref="C1:J1"/>
    <mergeCell ref="K1:R1"/>
    <mergeCell ref="S1:Z1"/>
    <mergeCell ref="AA1:AH1"/>
    <mergeCell ref="AI1:AP1"/>
    <mergeCell ref="AQ1:AX1"/>
  </mergeCells>
  <conditionalFormatting sqref="C9:AU17 C5:V8 AI5:BG8">
    <cfRule type="cellIs" dxfId="16" priority="2" operator="equal">
      <formula>1</formula>
    </cfRule>
  </conditionalFormatting>
  <conditionalFormatting sqref="W5:AH8">
    <cfRule type="cellIs" dxfId="15" priority="1" operator="equal">
      <formula>1</formula>
    </cfRule>
  </conditionalFormatting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J17"/>
  <sheetViews>
    <sheetView topLeftCell="X1" workbookViewId="0">
      <selection activeCell="BI10" sqref="BI10"/>
    </sheetView>
  </sheetViews>
  <sheetFormatPr defaultColWidth="11" defaultRowHeight="15.75" x14ac:dyDescent="0.25"/>
  <cols>
    <col min="3" max="20" width="3.5" customWidth="1"/>
    <col min="21" max="44" width="3.5" style="17" customWidth="1"/>
    <col min="45" max="58" width="3.5" customWidth="1"/>
  </cols>
  <sheetData>
    <row r="1" spans="1:62" x14ac:dyDescent="0.25">
      <c r="A1" t="s">
        <v>9</v>
      </c>
      <c r="C1" s="24" t="s">
        <v>24</v>
      </c>
      <c r="D1" s="24"/>
      <c r="E1" s="24"/>
      <c r="F1" s="24"/>
      <c r="G1" s="24"/>
      <c r="H1" s="24"/>
      <c r="I1" s="24"/>
      <c r="J1" s="24"/>
      <c r="K1" s="28" t="s">
        <v>25</v>
      </c>
      <c r="L1" s="29"/>
      <c r="M1" s="29"/>
      <c r="N1" s="29"/>
      <c r="O1" s="29"/>
      <c r="P1" s="29"/>
      <c r="Q1" s="29"/>
      <c r="R1" s="29"/>
      <c r="S1" s="27" t="s">
        <v>26</v>
      </c>
      <c r="T1" s="24"/>
      <c r="U1" s="24"/>
      <c r="V1" s="24"/>
      <c r="W1" s="24"/>
      <c r="X1" s="24"/>
      <c r="Y1" s="24"/>
      <c r="Z1" s="24"/>
      <c r="AA1" s="28" t="s">
        <v>27</v>
      </c>
      <c r="AB1" s="29"/>
      <c r="AC1" s="29"/>
      <c r="AD1" s="29"/>
      <c r="AE1" s="29"/>
      <c r="AF1" s="29"/>
      <c r="AG1" s="29"/>
      <c r="AH1" s="29"/>
      <c r="AI1" s="27" t="s">
        <v>28</v>
      </c>
      <c r="AJ1" s="24"/>
      <c r="AK1" s="24"/>
      <c r="AL1" s="24"/>
      <c r="AM1" s="24"/>
      <c r="AN1" s="24"/>
      <c r="AO1" s="24"/>
      <c r="AP1" s="24"/>
      <c r="AQ1" s="28" t="s">
        <v>29</v>
      </c>
      <c r="AR1" s="29"/>
      <c r="AS1" s="29"/>
      <c r="AT1" s="29"/>
      <c r="AU1" s="29"/>
      <c r="AV1" s="29"/>
      <c r="AW1" s="29"/>
      <c r="AX1" s="29"/>
      <c r="AY1" s="27" t="s">
        <v>30</v>
      </c>
      <c r="AZ1" s="24"/>
      <c r="BA1" s="24"/>
      <c r="BB1" s="24"/>
      <c r="BC1" s="24"/>
      <c r="BD1" s="24"/>
      <c r="BE1" s="24"/>
      <c r="BF1" s="24"/>
    </row>
    <row r="2" spans="1:62" x14ac:dyDescent="0.25">
      <c r="A2" t="s">
        <v>10</v>
      </c>
      <c r="C2" s="1">
        <v>5</v>
      </c>
      <c r="D2" s="1">
        <f>MOD(C2,8)+1</f>
        <v>6</v>
      </c>
      <c r="E2" s="1">
        <f>MOD(D2,8)+1</f>
        <v>7</v>
      </c>
      <c r="F2" s="1">
        <f>MOD(E2,8)+1</f>
        <v>8</v>
      </c>
      <c r="G2" s="3">
        <f>MOD(F2,8)+1</f>
        <v>1</v>
      </c>
      <c r="H2" s="3">
        <f>MOD(G2,8)+1</f>
        <v>2</v>
      </c>
      <c r="I2" s="3">
        <f>MOD(H2,8)+1</f>
        <v>3</v>
      </c>
      <c r="J2" s="1">
        <f>MOD(I2,8)+1</f>
        <v>4</v>
      </c>
      <c r="K2" s="1">
        <v>5</v>
      </c>
      <c r="L2" s="1">
        <f>MOD(K2,8)+1</f>
        <v>6</v>
      </c>
      <c r="M2" s="1">
        <f>MOD(L2,8)+1</f>
        <v>7</v>
      </c>
      <c r="N2" s="1">
        <f>MOD(M2,8)+1</f>
        <v>8</v>
      </c>
      <c r="O2" s="3">
        <f>MOD(N2,8)+1</f>
        <v>1</v>
      </c>
      <c r="P2" s="3">
        <f>MOD(O2,8)+1</f>
        <v>2</v>
      </c>
      <c r="Q2" s="3">
        <f>MOD(P2,8)+1</f>
        <v>3</v>
      </c>
      <c r="R2" s="1">
        <f>MOD(Q2,8)+1</f>
        <v>4</v>
      </c>
      <c r="S2" s="1">
        <v>5</v>
      </c>
      <c r="T2" s="1">
        <f>MOD(S2,8)+1</f>
        <v>6</v>
      </c>
      <c r="U2" s="1">
        <f>MOD(T2,8)+1</f>
        <v>7</v>
      </c>
      <c r="V2" s="1">
        <f>MOD(U2,8)+1</f>
        <v>8</v>
      </c>
      <c r="W2" s="3">
        <f>MOD(V2,8)+1</f>
        <v>1</v>
      </c>
      <c r="X2" s="3">
        <f>MOD(W2,8)+1</f>
        <v>2</v>
      </c>
      <c r="Y2" s="3">
        <f>MOD(X2,8)+1</f>
        <v>3</v>
      </c>
      <c r="Z2" s="1">
        <f>MOD(Y2,8)+1</f>
        <v>4</v>
      </c>
      <c r="AA2" s="1">
        <v>5</v>
      </c>
      <c r="AB2" s="1">
        <f>MOD(AA2,8)+1</f>
        <v>6</v>
      </c>
      <c r="AC2" s="1">
        <f>MOD(AB2,8)+1</f>
        <v>7</v>
      </c>
      <c r="AD2" s="1">
        <f>MOD(AC2,8)+1</f>
        <v>8</v>
      </c>
      <c r="AE2" s="3">
        <f>MOD(AD2,8)+1</f>
        <v>1</v>
      </c>
      <c r="AF2" s="3">
        <f>MOD(AE2,8)+1</f>
        <v>2</v>
      </c>
      <c r="AG2" s="3">
        <f>MOD(AF2,8)+1</f>
        <v>3</v>
      </c>
      <c r="AH2" s="1">
        <f>MOD(AG2,8)+1</f>
        <v>4</v>
      </c>
      <c r="AI2" s="1">
        <v>5</v>
      </c>
      <c r="AJ2" s="1">
        <f>MOD(AI2,8)+1</f>
        <v>6</v>
      </c>
      <c r="AK2" s="1">
        <f>MOD(AJ2,8)+1</f>
        <v>7</v>
      </c>
      <c r="AL2" s="1">
        <f>MOD(AK2,8)+1</f>
        <v>8</v>
      </c>
      <c r="AM2" s="3">
        <f>MOD(AL2,8)+1</f>
        <v>1</v>
      </c>
      <c r="AN2" s="3">
        <f>MOD(AM2,8)+1</f>
        <v>2</v>
      </c>
      <c r="AO2" s="3">
        <f>MOD(AN2,8)+1</f>
        <v>3</v>
      </c>
      <c r="AP2" s="1">
        <f>MOD(AO2,8)+1</f>
        <v>4</v>
      </c>
      <c r="AQ2" s="1">
        <v>5</v>
      </c>
      <c r="AR2" s="1">
        <f>MOD(AQ2,8)+1</f>
        <v>6</v>
      </c>
      <c r="AS2" s="1">
        <f>MOD(AR2,8)+1</f>
        <v>7</v>
      </c>
      <c r="AT2" s="1">
        <f>MOD(AS2,8)+1</f>
        <v>8</v>
      </c>
      <c r="AU2" s="3">
        <f>MOD(AT2,8)+1</f>
        <v>1</v>
      </c>
      <c r="AV2" s="3">
        <f>MOD(AU2,8)+1</f>
        <v>2</v>
      </c>
      <c r="AW2" s="3">
        <f>MOD(AV2,8)+1</f>
        <v>3</v>
      </c>
      <c r="AX2" s="1">
        <f>MOD(AW2,8)+1</f>
        <v>4</v>
      </c>
      <c r="AY2" s="1">
        <v>5</v>
      </c>
      <c r="AZ2" s="1">
        <f>MOD(AY2,8)+1</f>
        <v>6</v>
      </c>
      <c r="BA2" s="1">
        <f>MOD(AZ2,8)+1</f>
        <v>7</v>
      </c>
      <c r="BB2" s="1">
        <f>MOD(BA2,8)+1</f>
        <v>8</v>
      </c>
      <c r="BC2" s="3">
        <f>MOD(BB2,8)+1</f>
        <v>1</v>
      </c>
      <c r="BD2" s="3">
        <f>MOD(BC2,8)+1</f>
        <v>2</v>
      </c>
      <c r="BE2" s="3">
        <f>MOD(BD2,8)+1</f>
        <v>3</v>
      </c>
      <c r="BF2" s="1">
        <f>MOD(BE2,8)+1</f>
        <v>4</v>
      </c>
    </row>
    <row r="3" spans="1:62" ht="63" customHeight="1" x14ac:dyDescent="0.25">
      <c r="A3" s="2" t="s">
        <v>2</v>
      </c>
      <c r="B3" s="2"/>
      <c r="C3" s="26" t="s">
        <v>35</v>
      </c>
      <c r="D3" s="26" t="s">
        <v>36</v>
      </c>
      <c r="E3" s="26" t="s">
        <v>37</v>
      </c>
      <c r="F3" s="26" t="s">
        <v>38</v>
      </c>
      <c r="G3" s="26" t="s">
        <v>31</v>
      </c>
      <c r="H3" s="26" t="s">
        <v>32</v>
      </c>
      <c r="I3" s="26" t="s">
        <v>33</v>
      </c>
      <c r="J3" s="26" t="s">
        <v>34</v>
      </c>
      <c r="K3" s="26" t="s">
        <v>35</v>
      </c>
      <c r="L3" s="26" t="s">
        <v>36</v>
      </c>
      <c r="M3" s="26" t="s">
        <v>37</v>
      </c>
      <c r="N3" s="26" t="s">
        <v>38</v>
      </c>
      <c r="O3" s="26" t="s">
        <v>31</v>
      </c>
      <c r="P3" s="26" t="s">
        <v>32</v>
      </c>
      <c r="Q3" s="26" t="s">
        <v>33</v>
      </c>
      <c r="R3" s="26" t="s">
        <v>34</v>
      </c>
      <c r="S3" s="26" t="s">
        <v>35</v>
      </c>
      <c r="T3" s="26" t="s">
        <v>36</v>
      </c>
      <c r="U3" s="26" t="s">
        <v>37</v>
      </c>
      <c r="V3" s="26" t="s">
        <v>38</v>
      </c>
      <c r="W3" s="26" t="s">
        <v>31</v>
      </c>
      <c r="X3" s="26" t="s">
        <v>32</v>
      </c>
      <c r="Y3" s="26" t="s">
        <v>33</v>
      </c>
      <c r="Z3" s="26" t="s">
        <v>34</v>
      </c>
      <c r="AA3" s="26" t="s">
        <v>35</v>
      </c>
      <c r="AB3" s="26" t="s">
        <v>36</v>
      </c>
      <c r="AC3" s="26" t="s">
        <v>37</v>
      </c>
      <c r="AD3" s="26" t="s">
        <v>38</v>
      </c>
      <c r="AE3" s="26" t="s">
        <v>31</v>
      </c>
      <c r="AF3" s="26" t="s">
        <v>32</v>
      </c>
      <c r="AG3" s="26" t="s">
        <v>33</v>
      </c>
      <c r="AH3" s="26" t="s">
        <v>34</v>
      </c>
      <c r="AI3" s="26" t="s">
        <v>35</v>
      </c>
      <c r="AJ3" s="26" t="s">
        <v>36</v>
      </c>
      <c r="AK3" s="26" t="s">
        <v>37</v>
      </c>
      <c r="AL3" s="26" t="s">
        <v>38</v>
      </c>
      <c r="AM3" s="26" t="s">
        <v>31</v>
      </c>
      <c r="AN3" s="26" t="s">
        <v>32</v>
      </c>
      <c r="AO3" s="26" t="s">
        <v>33</v>
      </c>
      <c r="AP3" s="26" t="s">
        <v>34</v>
      </c>
      <c r="AQ3" s="26" t="s">
        <v>35</v>
      </c>
      <c r="AR3" s="26" t="s">
        <v>36</v>
      </c>
      <c r="AS3" s="26" t="s">
        <v>37</v>
      </c>
      <c r="AT3" s="26" t="s">
        <v>38</v>
      </c>
      <c r="AU3" s="26" t="s">
        <v>31</v>
      </c>
      <c r="AV3" s="26" t="s">
        <v>32</v>
      </c>
      <c r="AW3" s="26" t="s">
        <v>33</v>
      </c>
      <c r="AX3" s="26" t="s">
        <v>34</v>
      </c>
      <c r="AY3" s="26" t="s">
        <v>35</v>
      </c>
      <c r="AZ3" s="26" t="s">
        <v>36</v>
      </c>
      <c r="BA3" s="26" t="s">
        <v>37</v>
      </c>
      <c r="BB3" s="26" t="s">
        <v>38</v>
      </c>
      <c r="BC3" s="26" t="s">
        <v>31</v>
      </c>
      <c r="BD3" s="26" t="s">
        <v>32</v>
      </c>
      <c r="BE3" s="26" t="s">
        <v>33</v>
      </c>
      <c r="BF3" s="26" t="s">
        <v>34</v>
      </c>
      <c r="BG3" s="15" t="s">
        <v>16</v>
      </c>
      <c r="BH3" s="15"/>
      <c r="BI3" s="16" t="s">
        <v>17</v>
      </c>
      <c r="BJ3" s="16"/>
    </row>
    <row r="4" spans="1:62" x14ac:dyDescent="0.25">
      <c r="B4" s="8" t="s">
        <v>0</v>
      </c>
      <c r="C4" s="2"/>
      <c r="D4" s="2"/>
      <c r="E4" s="2"/>
      <c r="F4" s="2"/>
      <c r="G4" s="2"/>
      <c r="H4" s="2"/>
      <c r="I4" s="2"/>
      <c r="J4" s="2"/>
      <c r="AW4" s="17"/>
      <c r="BG4" s="10" t="s">
        <v>11</v>
      </c>
      <c r="BH4" s="11" t="s">
        <v>12</v>
      </c>
      <c r="BI4" s="10" t="s">
        <v>13</v>
      </c>
      <c r="BJ4" s="11" t="s">
        <v>14</v>
      </c>
    </row>
    <row r="5" spans="1:62" x14ac:dyDescent="0.25">
      <c r="A5" s="7"/>
      <c r="B5" s="4">
        <v>1</v>
      </c>
      <c r="C5" s="5">
        <v>0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0</v>
      </c>
      <c r="J5" s="5">
        <v>0</v>
      </c>
      <c r="K5" s="5">
        <v>1</v>
      </c>
      <c r="L5" s="5">
        <v>1</v>
      </c>
      <c r="M5" s="5">
        <v>0</v>
      </c>
      <c r="N5" s="5">
        <v>0</v>
      </c>
      <c r="O5" s="5">
        <v>0</v>
      </c>
      <c r="P5" s="5">
        <v>0</v>
      </c>
      <c r="Q5" s="5">
        <v>1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1</v>
      </c>
      <c r="X5" s="5">
        <v>1</v>
      </c>
      <c r="Y5" s="5">
        <v>1</v>
      </c>
      <c r="Z5" s="5">
        <v>1</v>
      </c>
      <c r="AA5" s="5">
        <v>0</v>
      </c>
      <c r="AB5" s="5">
        <v>0</v>
      </c>
      <c r="AC5" s="5">
        <v>0</v>
      </c>
      <c r="AD5" s="5">
        <v>0</v>
      </c>
      <c r="AE5" s="5">
        <v>1</v>
      </c>
      <c r="AF5" s="5">
        <v>1</v>
      </c>
      <c r="AG5" s="5">
        <v>0</v>
      </c>
      <c r="AH5" s="5">
        <v>0</v>
      </c>
      <c r="AI5" s="5">
        <v>1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1</v>
      </c>
      <c r="AP5" s="5">
        <v>1</v>
      </c>
      <c r="AQ5" s="5">
        <v>1</v>
      </c>
      <c r="AR5" s="5">
        <v>1</v>
      </c>
      <c r="AS5" s="30">
        <v>0</v>
      </c>
      <c r="AT5" s="30">
        <v>0</v>
      </c>
      <c r="AU5" s="5">
        <v>1</v>
      </c>
      <c r="AV5" s="5">
        <v>0</v>
      </c>
      <c r="AW5" s="5">
        <v>0</v>
      </c>
      <c r="AX5" s="5">
        <v>1</v>
      </c>
      <c r="AY5" s="5">
        <v>0</v>
      </c>
      <c r="AZ5" s="5">
        <v>0</v>
      </c>
      <c r="BA5" s="5">
        <v>0</v>
      </c>
      <c r="BB5" s="5">
        <v>0</v>
      </c>
      <c r="BC5" s="5">
        <v>1</v>
      </c>
      <c r="BD5" s="5">
        <v>0</v>
      </c>
      <c r="BE5" s="5">
        <v>0</v>
      </c>
      <c r="BF5" s="5">
        <v>1</v>
      </c>
      <c r="BG5" s="19">
        <f>SUMPRODUCT(C5:BF5,'Employee Availability'!C5:BF5)</f>
        <v>21</v>
      </c>
      <c r="BH5" s="19">
        <f>'Employee Availability'!BG5-'Employee Preference'!BG5</f>
        <v>21</v>
      </c>
      <c r="BI5" s="19">
        <f>IF(OR(BG5=0,BH5=0),0,BH5/(BG5+BH5))</f>
        <v>0.5</v>
      </c>
      <c r="BJ5" s="19">
        <f>IF(OR(BG5=0,BH5=0),0,BI5*BG5/BH5)</f>
        <v>0.5</v>
      </c>
    </row>
    <row r="6" spans="1:62" x14ac:dyDescent="0.25">
      <c r="B6" s="4">
        <v>2</v>
      </c>
      <c r="C6" s="5">
        <v>1</v>
      </c>
      <c r="D6" s="5">
        <v>0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0</v>
      </c>
      <c r="L6" s="5">
        <v>0</v>
      </c>
      <c r="M6" s="5">
        <v>0</v>
      </c>
      <c r="N6" s="5">
        <v>0</v>
      </c>
      <c r="O6" s="5">
        <v>1</v>
      </c>
      <c r="P6" s="5">
        <v>0</v>
      </c>
      <c r="Q6" s="5">
        <v>1</v>
      </c>
      <c r="R6" s="5">
        <v>1</v>
      </c>
      <c r="S6" s="5">
        <v>0</v>
      </c>
      <c r="T6" s="5">
        <v>0</v>
      </c>
      <c r="U6" s="5">
        <v>0</v>
      </c>
      <c r="V6" s="5">
        <v>0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1</v>
      </c>
      <c r="AH6" s="5">
        <v>1</v>
      </c>
      <c r="AI6" s="5">
        <v>1</v>
      </c>
      <c r="AJ6" s="5">
        <v>1</v>
      </c>
      <c r="AK6" s="5">
        <v>0</v>
      </c>
      <c r="AL6" s="5">
        <v>0</v>
      </c>
      <c r="AM6" s="5">
        <v>1</v>
      </c>
      <c r="AN6" s="5">
        <v>1</v>
      </c>
      <c r="AO6" s="5">
        <v>1</v>
      </c>
      <c r="AP6" s="5">
        <v>1</v>
      </c>
      <c r="AQ6" s="5">
        <v>0</v>
      </c>
      <c r="AR6" s="5">
        <v>0</v>
      </c>
      <c r="AS6" s="30">
        <v>0</v>
      </c>
      <c r="AT6" s="30">
        <v>0</v>
      </c>
      <c r="AU6" s="5">
        <v>0</v>
      </c>
      <c r="AV6" s="5">
        <v>1</v>
      </c>
      <c r="AW6" s="5">
        <v>1</v>
      </c>
      <c r="AX6" s="5">
        <v>1</v>
      </c>
      <c r="AY6" s="5">
        <v>1</v>
      </c>
      <c r="AZ6" s="5">
        <v>1</v>
      </c>
      <c r="BA6" s="5">
        <v>0</v>
      </c>
      <c r="BB6" s="5">
        <v>0</v>
      </c>
      <c r="BC6" s="5">
        <v>0</v>
      </c>
      <c r="BD6" s="5">
        <v>1</v>
      </c>
      <c r="BE6" s="5">
        <v>1</v>
      </c>
      <c r="BF6" s="5">
        <v>1</v>
      </c>
      <c r="BG6" s="19">
        <f>SUMPRODUCT(C6:BF6,'Employee Availability'!C6:BF6)</f>
        <v>29</v>
      </c>
      <c r="BH6" s="19">
        <f>'Employee Availability'!BG6-'Employee Preference'!BG6</f>
        <v>13</v>
      </c>
      <c r="BI6" s="19">
        <f t="shared" ref="BI6:BI8" si="0">IF(OR(BG6=0,BH6=0),0,BH6/(BG6+BH6))</f>
        <v>0.30952380952380953</v>
      </c>
      <c r="BJ6" s="19">
        <f t="shared" ref="BJ6:BJ8" si="1">IF(OR(BG6=0,BH6=0),0,BI6*BG6/BH6)</f>
        <v>0.69047619047619047</v>
      </c>
    </row>
    <row r="7" spans="1:62" x14ac:dyDescent="0.25">
      <c r="B7" s="4">
        <v>3</v>
      </c>
      <c r="C7" s="5">
        <v>1</v>
      </c>
      <c r="D7" s="5">
        <v>1</v>
      </c>
      <c r="E7" s="5">
        <v>0</v>
      </c>
      <c r="F7" s="5">
        <v>0</v>
      </c>
      <c r="G7" s="5">
        <v>0</v>
      </c>
      <c r="H7" s="5">
        <v>1</v>
      </c>
      <c r="I7" s="5">
        <v>1</v>
      </c>
      <c r="J7" s="5">
        <v>1</v>
      </c>
      <c r="K7" s="5">
        <v>1</v>
      </c>
      <c r="L7" s="5">
        <v>0</v>
      </c>
      <c r="M7" s="5">
        <v>0</v>
      </c>
      <c r="N7" s="5">
        <v>0</v>
      </c>
      <c r="O7" s="5">
        <v>0</v>
      </c>
      <c r="P7" s="5">
        <v>1</v>
      </c>
      <c r="Q7" s="5">
        <v>0</v>
      </c>
      <c r="R7" s="5">
        <v>0</v>
      </c>
      <c r="S7" s="5">
        <v>1</v>
      </c>
      <c r="T7" s="5">
        <v>1</v>
      </c>
      <c r="U7" s="5">
        <v>0</v>
      </c>
      <c r="V7" s="5">
        <v>0</v>
      </c>
      <c r="W7" s="5">
        <v>1</v>
      </c>
      <c r="X7" s="5">
        <v>1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1</v>
      </c>
      <c r="AF7" s="5">
        <v>1</v>
      </c>
      <c r="AG7" s="5">
        <v>1</v>
      </c>
      <c r="AH7" s="5">
        <v>0</v>
      </c>
      <c r="AI7" s="5">
        <v>1</v>
      </c>
      <c r="AJ7" s="5">
        <v>1</v>
      </c>
      <c r="AK7" s="5">
        <v>0</v>
      </c>
      <c r="AL7" s="5">
        <v>0</v>
      </c>
      <c r="AM7" s="5">
        <v>0</v>
      </c>
      <c r="AN7" s="5">
        <v>1</v>
      </c>
      <c r="AO7" s="5">
        <v>1</v>
      </c>
      <c r="AP7" s="5">
        <v>1</v>
      </c>
      <c r="AQ7" s="5">
        <v>1</v>
      </c>
      <c r="AR7" s="5">
        <v>1</v>
      </c>
      <c r="AS7" s="30">
        <v>0</v>
      </c>
      <c r="AT7" s="30">
        <v>0</v>
      </c>
      <c r="AU7" s="5">
        <v>1</v>
      </c>
      <c r="AV7" s="5">
        <v>1</v>
      </c>
      <c r="AW7" s="5">
        <v>0</v>
      </c>
      <c r="AX7" s="5">
        <v>1</v>
      </c>
      <c r="AY7" s="5">
        <v>0</v>
      </c>
      <c r="AZ7" s="5">
        <v>0</v>
      </c>
      <c r="BA7" s="5">
        <v>0</v>
      </c>
      <c r="BB7" s="5">
        <v>0</v>
      </c>
      <c r="BC7" s="5">
        <v>1</v>
      </c>
      <c r="BD7" s="5">
        <v>1</v>
      </c>
      <c r="BE7" s="5">
        <v>0</v>
      </c>
      <c r="BF7" s="5">
        <v>1</v>
      </c>
      <c r="BG7" s="19">
        <f>SUMPRODUCT(C7:BF7,'Employee Availability'!C7:BF7)</f>
        <v>27</v>
      </c>
      <c r="BH7" s="19">
        <f>'Employee Availability'!BG7-'Employee Preference'!BG7</f>
        <v>15</v>
      </c>
      <c r="BI7" s="19">
        <f t="shared" si="0"/>
        <v>0.35714285714285715</v>
      </c>
      <c r="BJ7" s="19">
        <f t="shared" si="1"/>
        <v>0.64285714285714279</v>
      </c>
    </row>
    <row r="8" spans="1:62" x14ac:dyDescent="0.25">
      <c r="B8" s="4">
        <v>4</v>
      </c>
      <c r="C8" s="5">
        <v>1</v>
      </c>
      <c r="D8" s="5">
        <v>0</v>
      </c>
      <c r="E8" s="5">
        <v>0</v>
      </c>
      <c r="F8" s="5">
        <v>0</v>
      </c>
      <c r="G8" s="5">
        <v>1</v>
      </c>
      <c r="H8" s="5">
        <v>0</v>
      </c>
      <c r="I8" s="5">
        <v>0</v>
      </c>
      <c r="J8" s="5">
        <v>0</v>
      </c>
      <c r="K8" s="5">
        <v>0</v>
      </c>
      <c r="L8" s="5">
        <v>1</v>
      </c>
      <c r="M8" s="5">
        <v>0</v>
      </c>
      <c r="N8" s="5">
        <v>0</v>
      </c>
      <c r="O8" s="5">
        <v>1</v>
      </c>
      <c r="P8" s="5">
        <v>0</v>
      </c>
      <c r="Q8" s="5">
        <v>1</v>
      </c>
      <c r="R8" s="5">
        <v>0</v>
      </c>
      <c r="S8" s="5">
        <v>0</v>
      </c>
      <c r="T8" s="5">
        <v>1</v>
      </c>
      <c r="U8" s="5">
        <v>0</v>
      </c>
      <c r="V8" s="5">
        <v>0</v>
      </c>
      <c r="W8" s="5">
        <v>0</v>
      </c>
      <c r="X8" s="5">
        <v>1</v>
      </c>
      <c r="Y8" s="5">
        <v>1</v>
      </c>
      <c r="Z8" s="5">
        <v>1</v>
      </c>
      <c r="AA8" s="5">
        <v>1</v>
      </c>
      <c r="AB8" s="5">
        <v>0</v>
      </c>
      <c r="AC8" s="5">
        <v>0</v>
      </c>
      <c r="AD8" s="5">
        <v>0</v>
      </c>
      <c r="AE8" s="5">
        <v>0</v>
      </c>
      <c r="AF8" s="5">
        <v>1</v>
      </c>
      <c r="AG8" s="5">
        <v>1</v>
      </c>
      <c r="AH8" s="5">
        <v>1</v>
      </c>
      <c r="AI8" s="5">
        <v>0</v>
      </c>
      <c r="AJ8" s="5">
        <v>0</v>
      </c>
      <c r="AK8" s="5">
        <v>0</v>
      </c>
      <c r="AL8" s="5">
        <v>0</v>
      </c>
      <c r="AM8" s="5">
        <v>1</v>
      </c>
      <c r="AN8" s="5">
        <v>0</v>
      </c>
      <c r="AO8" s="5">
        <v>1</v>
      </c>
      <c r="AP8" s="5">
        <v>0</v>
      </c>
      <c r="AQ8" s="5">
        <v>0</v>
      </c>
      <c r="AR8" s="5">
        <v>0</v>
      </c>
      <c r="AS8" s="30">
        <v>0</v>
      </c>
      <c r="AT8" s="30">
        <v>0</v>
      </c>
      <c r="AU8" s="5">
        <v>1</v>
      </c>
      <c r="AV8" s="5">
        <v>1</v>
      </c>
      <c r="AW8" s="5">
        <v>1</v>
      </c>
      <c r="AX8" s="5">
        <v>0</v>
      </c>
      <c r="AY8" s="5">
        <v>1</v>
      </c>
      <c r="AZ8" s="5">
        <v>1</v>
      </c>
      <c r="BA8" s="5">
        <v>0</v>
      </c>
      <c r="BB8" s="5">
        <v>0</v>
      </c>
      <c r="BC8" s="5">
        <v>1</v>
      </c>
      <c r="BD8" s="5">
        <v>1</v>
      </c>
      <c r="BE8" s="5">
        <v>1</v>
      </c>
      <c r="BF8" s="5">
        <v>0</v>
      </c>
      <c r="BG8" s="19">
        <f>SUMPRODUCT(C8:BF8,'Employee Availability'!C8:BF8)</f>
        <v>23</v>
      </c>
      <c r="BH8" s="19">
        <f>'Employee Availability'!BG8-'Employee Preference'!BG8</f>
        <v>19</v>
      </c>
      <c r="BI8" s="19">
        <f t="shared" si="0"/>
        <v>0.45238095238095238</v>
      </c>
      <c r="BJ8" s="19">
        <f t="shared" si="1"/>
        <v>0.54761904761904767</v>
      </c>
    </row>
    <row r="9" spans="1:62" x14ac:dyDescent="0.25">
      <c r="B9" s="17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W9" s="17"/>
    </row>
    <row r="10" spans="1:62" x14ac:dyDescent="0.25">
      <c r="B10" s="17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7"/>
      <c r="AT10" s="17"/>
      <c r="AU10" s="17"/>
      <c r="AV10" s="17"/>
      <c r="AW10" s="17"/>
    </row>
    <row r="11" spans="1:62" x14ac:dyDescent="0.25">
      <c r="B11" s="17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7"/>
      <c r="AT11" s="17"/>
      <c r="AU11" s="17"/>
      <c r="AV11" s="17"/>
      <c r="AW11" s="17"/>
    </row>
    <row r="12" spans="1:62" x14ac:dyDescent="0.25">
      <c r="B12" s="17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7"/>
      <c r="AT12" s="17"/>
      <c r="AU12" s="17"/>
      <c r="AV12" s="17"/>
      <c r="AW12" s="17"/>
    </row>
    <row r="13" spans="1:62" x14ac:dyDescent="0.25">
      <c r="B13" s="17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7"/>
      <c r="AT13" s="17"/>
      <c r="AU13" s="17"/>
      <c r="AV13" s="17"/>
      <c r="AW13" s="17"/>
    </row>
    <row r="14" spans="1:62" x14ac:dyDescent="0.25">
      <c r="B14" s="17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7"/>
      <c r="AT14" s="17"/>
      <c r="AU14" s="17"/>
      <c r="AV14" s="17"/>
      <c r="AW14" s="17"/>
    </row>
    <row r="15" spans="1:62" x14ac:dyDescent="0.25">
      <c r="B15" s="17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7"/>
      <c r="AT15" s="17"/>
      <c r="AU15" s="17"/>
      <c r="AV15" s="17"/>
    </row>
    <row r="16" spans="1:62" x14ac:dyDescent="0.25">
      <c r="B16" s="17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7"/>
      <c r="AT16" s="17"/>
      <c r="AU16" s="17"/>
      <c r="AV16" s="17"/>
    </row>
    <row r="17" spans="2:48" x14ac:dyDescent="0.25">
      <c r="B17" s="17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7"/>
      <c r="AT17" s="17"/>
      <c r="AU17" s="17"/>
      <c r="AV17" s="17"/>
    </row>
  </sheetData>
  <mergeCells count="7">
    <mergeCell ref="AQ1:AX1"/>
    <mergeCell ref="AY1:BF1"/>
    <mergeCell ref="C1:J1"/>
    <mergeCell ref="K1:R1"/>
    <mergeCell ref="S1:Z1"/>
    <mergeCell ref="AA1:AH1"/>
    <mergeCell ref="AI1:AP1"/>
  </mergeCells>
  <conditionalFormatting sqref="C9:AR17 C5:T8 AG5:AT8">
    <cfRule type="cellIs" dxfId="14" priority="6" operator="equal">
      <formula>1</formula>
    </cfRule>
  </conditionalFormatting>
  <conditionalFormatting sqref="U5:AF8">
    <cfRule type="cellIs" dxfId="13" priority="5" operator="equal">
      <formula>1</formula>
    </cfRule>
  </conditionalFormatting>
  <conditionalFormatting sqref="AV5:BB8">
    <cfRule type="cellIs" dxfId="12" priority="4" operator="equal">
      <formula>1</formula>
    </cfRule>
  </conditionalFormatting>
  <conditionalFormatting sqref="AU5:AU8">
    <cfRule type="cellIs" dxfId="11" priority="3" operator="equal">
      <formula>1</formula>
    </cfRule>
  </conditionalFormatting>
  <conditionalFormatting sqref="BD5:BF8">
    <cfRule type="cellIs" dxfId="10" priority="2" operator="equal">
      <formula>1</formula>
    </cfRule>
  </conditionalFormatting>
  <conditionalFormatting sqref="BC5:BC8">
    <cfRule type="cellIs" dxfId="9" priority="1" operator="equal">
      <formula>1</formula>
    </cfRule>
  </conditionalFormatting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I110"/>
  <sheetViews>
    <sheetView tabSelected="1" workbookViewId="0">
      <selection activeCell="D12" sqref="D12"/>
    </sheetView>
  </sheetViews>
  <sheetFormatPr defaultColWidth="11" defaultRowHeight="15.75" x14ac:dyDescent="0.25"/>
  <cols>
    <col min="1" max="1" width="17.375" customWidth="1"/>
    <col min="2" max="2" width="17" customWidth="1"/>
    <col min="3" max="44" width="3.875" customWidth="1"/>
    <col min="45" max="58" width="3.5" customWidth="1"/>
  </cols>
  <sheetData>
    <row r="1" spans="1:61" x14ac:dyDescent="0.25">
      <c r="A1" t="s">
        <v>9</v>
      </c>
      <c r="C1" s="24" t="s">
        <v>24</v>
      </c>
      <c r="D1" s="24"/>
      <c r="E1" s="24"/>
      <c r="F1" s="24"/>
      <c r="G1" s="24"/>
      <c r="H1" s="24"/>
      <c r="I1" s="24"/>
      <c r="J1" s="24"/>
      <c r="K1" s="28" t="s">
        <v>25</v>
      </c>
      <c r="L1" s="29"/>
      <c r="M1" s="29"/>
      <c r="N1" s="29"/>
      <c r="O1" s="29"/>
      <c r="P1" s="29"/>
      <c r="Q1" s="29"/>
      <c r="R1" s="29"/>
      <c r="S1" s="27" t="s">
        <v>26</v>
      </c>
      <c r="T1" s="24"/>
      <c r="U1" s="24"/>
      <c r="V1" s="24"/>
      <c r="W1" s="24"/>
      <c r="X1" s="24"/>
      <c r="Y1" s="24"/>
      <c r="Z1" s="24"/>
      <c r="AA1" s="28" t="s">
        <v>27</v>
      </c>
      <c r="AB1" s="29"/>
      <c r="AC1" s="29"/>
      <c r="AD1" s="29"/>
      <c r="AE1" s="29"/>
      <c r="AF1" s="29"/>
      <c r="AG1" s="29"/>
      <c r="AH1" s="29"/>
      <c r="AI1" s="27" t="s">
        <v>28</v>
      </c>
      <c r="AJ1" s="24"/>
      <c r="AK1" s="24"/>
      <c r="AL1" s="24"/>
      <c r="AM1" s="24"/>
      <c r="AN1" s="24"/>
      <c r="AO1" s="24"/>
      <c r="AP1" s="24"/>
      <c r="AQ1" s="28" t="s">
        <v>29</v>
      </c>
      <c r="AR1" s="29"/>
      <c r="AS1" s="29"/>
      <c r="AT1" s="29"/>
      <c r="AU1" s="29"/>
      <c r="AV1" s="29"/>
      <c r="AW1" s="29"/>
      <c r="AX1" s="29"/>
      <c r="AY1" s="27" t="s">
        <v>30</v>
      </c>
      <c r="AZ1" s="24"/>
      <c r="BA1" s="24"/>
      <c r="BB1" s="24"/>
      <c r="BC1" s="24"/>
      <c r="BD1" s="24"/>
      <c r="BE1" s="24"/>
      <c r="BF1" s="24"/>
    </row>
    <row r="2" spans="1:61" x14ac:dyDescent="0.25">
      <c r="A2" t="s">
        <v>10</v>
      </c>
      <c r="C2" s="1">
        <v>5</v>
      </c>
      <c r="D2" s="1">
        <f>MOD(C2,8)+1</f>
        <v>6</v>
      </c>
      <c r="E2" s="31">
        <f>MOD(D2,8)+1</f>
        <v>7</v>
      </c>
      <c r="F2" s="31">
        <f>MOD(E2,8)+1</f>
        <v>8</v>
      </c>
      <c r="G2" s="3">
        <f>MOD(F2,8)+1</f>
        <v>1</v>
      </c>
      <c r="H2" s="3">
        <f>MOD(G2,8)+1</f>
        <v>2</v>
      </c>
      <c r="I2" s="3">
        <f>MOD(H2,8)+1</f>
        <v>3</v>
      </c>
      <c r="J2" s="1">
        <f>MOD(I2,8)+1</f>
        <v>4</v>
      </c>
      <c r="K2" s="1">
        <v>5</v>
      </c>
      <c r="L2" s="1">
        <f>MOD(K2,8)+1</f>
        <v>6</v>
      </c>
      <c r="M2" s="31">
        <f>MOD(L2,8)+1</f>
        <v>7</v>
      </c>
      <c r="N2" s="31">
        <f>MOD(M2,8)+1</f>
        <v>8</v>
      </c>
      <c r="O2" s="3">
        <f>MOD(N2,8)+1</f>
        <v>1</v>
      </c>
      <c r="P2" s="3">
        <f>MOD(O2,8)+1</f>
        <v>2</v>
      </c>
      <c r="Q2" s="3">
        <f>MOD(P2,8)+1</f>
        <v>3</v>
      </c>
      <c r="R2" s="1">
        <f>MOD(Q2,8)+1</f>
        <v>4</v>
      </c>
      <c r="S2" s="1">
        <v>5</v>
      </c>
      <c r="T2" s="1">
        <f>MOD(S2,8)+1</f>
        <v>6</v>
      </c>
      <c r="U2" s="31">
        <f>MOD(T2,8)+1</f>
        <v>7</v>
      </c>
      <c r="V2" s="31">
        <f>MOD(U2,8)+1</f>
        <v>8</v>
      </c>
      <c r="W2" s="3">
        <f>MOD(V2,8)+1</f>
        <v>1</v>
      </c>
      <c r="X2" s="3">
        <f>MOD(W2,8)+1</f>
        <v>2</v>
      </c>
      <c r="Y2" s="3">
        <f>MOD(X2,8)+1</f>
        <v>3</v>
      </c>
      <c r="Z2" s="1">
        <f>MOD(Y2,8)+1</f>
        <v>4</v>
      </c>
      <c r="AA2" s="1">
        <v>5</v>
      </c>
      <c r="AB2" s="1">
        <f>MOD(AA2,8)+1</f>
        <v>6</v>
      </c>
      <c r="AC2" s="31">
        <f>MOD(AB2,8)+1</f>
        <v>7</v>
      </c>
      <c r="AD2" s="31">
        <f>MOD(AC2,8)+1</f>
        <v>8</v>
      </c>
      <c r="AE2" s="3">
        <f>MOD(AD2,8)+1</f>
        <v>1</v>
      </c>
      <c r="AF2" s="3">
        <f>MOD(AE2,8)+1</f>
        <v>2</v>
      </c>
      <c r="AG2" s="3">
        <f>MOD(AF2,8)+1</f>
        <v>3</v>
      </c>
      <c r="AH2" s="1">
        <f>MOD(AG2,8)+1</f>
        <v>4</v>
      </c>
      <c r="AI2" s="1">
        <v>5</v>
      </c>
      <c r="AJ2" s="1">
        <f>MOD(AI2,8)+1</f>
        <v>6</v>
      </c>
      <c r="AK2" s="31">
        <f>MOD(AJ2,8)+1</f>
        <v>7</v>
      </c>
      <c r="AL2" s="31">
        <f>MOD(AK2,8)+1</f>
        <v>8</v>
      </c>
      <c r="AM2" s="3">
        <f>MOD(AL2,8)+1</f>
        <v>1</v>
      </c>
      <c r="AN2" s="3">
        <f>MOD(AM2,8)+1</f>
        <v>2</v>
      </c>
      <c r="AO2" s="3">
        <f>MOD(AN2,8)+1</f>
        <v>3</v>
      </c>
      <c r="AP2" s="1">
        <f>MOD(AO2,8)+1</f>
        <v>4</v>
      </c>
      <c r="AQ2" s="1">
        <v>5</v>
      </c>
      <c r="AR2" s="1">
        <f>MOD(AQ2,8)+1</f>
        <v>6</v>
      </c>
      <c r="AS2" s="31">
        <f>MOD(AR2,8)+1</f>
        <v>7</v>
      </c>
      <c r="AT2" s="31">
        <f>MOD(AS2,8)+1</f>
        <v>8</v>
      </c>
      <c r="AU2" s="3">
        <f>MOD(AT2,8)+1</f>
        <v>1</v>
      </c>
      <c r="AV2" s="3">
        <f>MOD(AU2,8)+1</f>
        <v>2</v>
      </c>
      <c r="AW2" s="3">
        <f>MOD(AV2,8)+1</f>
        <v>3</v>
      </c>
      <c r="AX2" s="1">
        <f>MOD(AW2,8)+1</f>
        <v>4</v>
      </c>
      <c r="AY2" s="1">
        <v>5</v>
      </c>
      <c r="AZ2" s="1">
        <f>MOD(AY2,8)+1</f>
        <v>6</v>
      </c>
      <c r="BA2" s="31">
        <f>MOD(AZ2,8)+1</f>
        <v>7</v>
      </c>
      <c r="BB2" s="31">
        <f>MOD(BA2,8)+1</f>
        <v>8</v>
      </c>
      <c r="BC2" s="3">
        <f>MOD(BB2,8)+1</f>
        <v>1</v>
      </c>
      <c r="BD2" s="3">
        <f>MOD(BC2,8)+1</f>
        <v>2</v>
      </c>
      <c r="BE2" s="3">
        <f>MOD(BD2,8)+1</f>
        <v>3</v>
      </c>
      <c r="BF2" s="1">
        <f>MOD(BE2,8)+1</f>
        <v>4</v>
      </c>
    </row>
    <row r="3" spans="1:61" s="2" customFormat="1" ht="60" x14ac:dyDescent="0.25">
      <c r="A3" s="2" t="s">
        <v>2</v>
      </c>
      <c r="C3" s="26" t="s">
        <v>35</v>
      </c>
      <c r="D3" s="26" t="s">
        <v>36</v>
      </c>
      <c r="E3" s="26" t="s">
        <v>37</v>
      </c>
      <c r="F3" s="26" t="s">
        <v>38</v>
      </c>
      <c r="G3" s="26" t="s">
        <v>31</v>
      </c>
      <c r="H3" s="26" t="s">
        <v>32</v>
      </c>
      <c r="I3" s="26" t="s">
        <v>33</v>
      </c>
      <c r="J3" s="26" t="s">
        <v>34</v>
      </c>
      <c r="K3" s="26" t="s">
        <v>35</v>
      </c>
      <c r="L3" s="26" t="s">
        <v>36</v>
      </c>
      <c r="M3" s="26" t="s">
        <v>37</v>
      </c>
      <c r="N3" s="26" t="s">
        <v>38</v>
      </c>
      <c r="O3" s="26" t="s">
        <v>31</v>
      </c>
      <c r="P3" s="26" t="s">
        <v>32</v>
      </c>
      <c r="Q3" s="26" t="s">
        <v>33</v>
      </c>
      <c r="R3" s="26" t="s">
        <v>34</v>
      </c>
      <c r="S3" s="26" t="s">
        <v>35</v>
      </c>
      <c r="T3" s="26" t="s">
        <v>36</v>
      </c>
      <c r="U3" s="26" t="s">
        <v>37</v>
      </c>
      <c r="V3" s="26" t="s">
        <v>38</v>
      </c>
      <c r="W3" s="26" t="s">
        <v>31</v>
      </c>
      <c r="X3" s="26" t="s">
        <v>32</v>
      </c>
      <c r="Y3" s="26" t="s">
        <v>33</v>
      </c>
      <c r="Z3" s="26" t="s">
        <v>34</v>
      </c>
      <c r="AA3" s="26" t="s">
        <v>35</v>
      </c>
      <c r="AB3" s="26" t="s">
        <v>36</v>
      </c>
      <c r="AC3" s="26" t="s">
        <v>37</v>
      </c>
      <c r="AD3" s="26" t="s">
        <v>38</v>
      </c>
      <c r="AE3" s="26" t="s">
        <v>31</v>
      </c>
      <c r="AF3" s="26" t="s">
        <v>32</v>
      </c>
      <c r="AG3" s="26" t="s">
        <v>33</v>
      </c>
      <c r="AH3" s="26" t="s">
        <v>34</v>
      </c>
      <c r="AI3" s="26" t="s">
        <v>35</v>
      </c>
      <c r="AJ3" s="26" t="s">
        <v>36</v>
      </c>
      <c r="AK3" s="26" t="s">
        <v>37</v>
      </c>
      <c r="AL3" s="26" t="s">
        <v>38</v>
      </c>
      <c r="AM3" s="26" t="s">
        <v>31</v>
      </c>
      <c r="AN3" s="26" t="s">
        <v>32</v>
      </c>
      <c r="AO3" s="26" t="s">
        <v>33</v>
      </c>
      <c r="AP3" s="26" t="s">
        <v>34</v>
      </c>
      <c r="AQ3" s="26" t="s">
        <v>35</v>
      </c>
      <c r="AR3" s="26" t="s">
        <v>36</v>
      </c>
      <c r="AS3" s="26" t="s">
        <v>37</v>
      </c>
      <c r="AT3" s="26" t="s">
        <v>38</v>
      </c>
      <c r="AU3" s="26" t="s">
        <v>31</v>
      </c>
      <c r="AV3" s="26" t="s">
        <v>32</v>
      </c>
      <c r="AW3" s="26" t="s">
        <v>33</v>
      </c>
      <c r="AX3" s="26" t="s">
        <v>34</v>
      </c>
      <c r="AY3" s="26" t="s">
        <v>35</v>
      </c>
      <c r="AZ3" s="26" t="s">
        <v>36</v>
      </c>
      <c r="BA3" s="26" t="s">
        <v>37</v>
      </c>
      <c r="BB3" s="26" t="s">
        <v>38</v>
      </c>
      <c r="BC3" s="26" t="s">
        <v>31</v>
      </c>
      <c r="BD3" s="26" t="s">
        <v>32</v>
      </c>
      <c r="BE3" s="26" t="s">
        <v>33</v>
      </c>
      <c r="BF3" s="26" t="s">
        <v>34</v>
      </c>
    </row>
    <row r="4" spans="1:61" s="7" customFormat="1" x14ac:dyDescent="0.25">
      <c r="A4" s="6" t="s">
        <v>3</v>
      </c>
      <c r="C4" s="6">
        <v>1</v>
      </c>
      <c r="D4" s="6">
        <v>1</v>
      </c>
      <c r="E4" s="6">
        <v>0</v>
      </c>
      <c r="F4" s="6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6">
        <v>0</v>
      </c>
      <c r="N4" s="6">
        <v>0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0</v>
      </c>
      <c r="V4" s="6">
        <v>0</v>
      </c>
      <c r="W4" s="6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0</v>
      </c>
      <c r="AD4" s="6">
        <v>0</v>
      </c>
      <c r="AE4" s="6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0</v>
      </c>
      <c r="AL4" s="6">
        <v>0</v>
      </c>
      <c r="AM4" s="6">
        <v>1</v>
      </c>
      <c r="AN4" s="6">
        <v>1</v>
      </c>
      <c r="AO4" s="6">
        <v>1</v>
      </c>
      <c r="AP4" s="6">
        <v>1</v>
      </c>
      <c r="AQ4" s="6">
        <v>1</v>
      </c>
      <c r="AR4" s="6">
        <v>1</v>
      </c>
      <c r="AS4" s="6">
        <v>0</v>
      </c>
      <c r="AT4" s="6">
        <v>0</v>
      </c>
      <c r="AU4" s="6">
        <v>1</v>
      </c>
      <c r="AV4" s="6">
        <v>1</v>
      </c>
      <c r="AW4" s="6">
        <v>1</v>
      </c>
      <c r="AX4" s="6">
        <v>1</v>
      </c>
      <c r="AY4" s="6">
        <v>1</v>
      </c>
      <c r="AZ4" s="6">
        <v>1</v>
      </c>
      <c r="BA4" s="6">
        <v>0</v>
      </c>
      <c r="BB4" s="6">
        <v>0</v>
      </c>
      <c r="BC4" s="6">
        <v>1</v>
      </c>
      <c r="BD4" s="6">
        <v>1</v>
      </c>
      <c r="BE4" s="6">
        <v>1</v>
      </c>
      <c r="BF4" s="6">
        <v>1</v>
      </c>
      <c r="BG4" s="18">
        <f>SUM(C4:AR4)</f>
        <v>32</v>
      </c>
    </row>
    <row r="5" spans="1:61" x14ac:dyDescent="0.25">
      <c r="B5" s="8" t="s">
        <v>18</v>
      </c>
      <c r="C5" s="8">
        <f t="shared" ref="C5:T5" si="0">SUM(C6:C9)</f>
        <v>3</v>
      </c>
      <c r="D5" s="8">
        <f t="shared" si="0"/>
        <v>2</v>
      </c>
      <c r="E5" s="8">
        <f t="shared" si="0"/>
        <v>0</v>
      </c>
      <c r="F5" s="8">
        <f t="shared" si="0"/>
        <v>0</v>
      </c>
      <c r="G5" s="8">
        <f t="shared" si="0"/>
        <v>3</v>
      </c>
      <c r="H5" s="8">
        <f t="shared" si="0"/>
        <v>1</v>
      </c>
      <c r="I5" s="8">
        <f t="shared" si="0"/>
        <v>2</v>
      </c>
      <c r="J5" s="8">
        <f t="shared" si="0"/>
        <v>2</v>
      </c>
      <c r="K5" s="8">
        <f t="shared" si="0"/>
        <v>1</v>
      </c>
      <c r="L5" s="8">
        <f t="shared" si="0"/>
        <v>1</v>
      </c>
      <c r="M5" s="8">
        <f t="shared" si="0"/>
        <v>0</v>
      </c>
      <c r="N5" s="8">
        <f t="shared" si="0"/>
        <v>0</v>
      </c>
      <c r="O5" s="8">
        <f t="shared" si="0"/>
        <v>1</v>
      </c>
      <c r="P5" s="8">
        <f t="shared" si="0"/>
        <v>1</v>
      </c>
      <c r="Q5" s="8">
        <f t="shared" si="0"/>
        <v>3</v>
      </c>
      <c r="R5" s="8">
        <f t="shared" si="0"/>
        <v>1</v>
      </c>
      <c r="S5" s="8">
        <f t="shared" si="0"/>
        <v>1</v>
      </c>
      <c r="T5" s="8">
        <f t="shared" si="0"/>
        <v>1</v>
      </c>
      <c r="U5" s="8">
        <f t="shared" ref="U5" si="1">SUM(U6:U9)</f>
        <v>0</v>
      </c>
      <c r="V5" s="8">
        <f t="shared" ref="V5" si="2">SUM(V6:V9)</f>
        <v>0</v>
      </c>
      <c r="W5" s="8">
        <f t="shared" ref="W5" si="3">SUM(W6:W9)</f>
        <v>1</v>
      </c>
      <c r="X5" s="8">
        <f t="shared" ref="X5" si="4">SUM(X6:X9)</f>
        <v>3</v>
      </c>
      <c r="Y5" s="8">
        <f t="shared" ref="Y5" si="5">SUM(Y6:Y9)</f>
        <v>3</v>
      </c>
      <c r="Z5" s="8">
        <f t="shared" ref="Z5" si="6">SUM(Z6:Z9)</f>
        <v>1</v>
      </c>
      <c r="AA5" s="8">
        <f t="shared" ref="AA5" si="7">SUM(AA6:AA9)</f>
        <v>2</v>
      </c>
      <c r="AB5" s="8">
        <f t="shared" ref="AB5" si="8">SUM(AB6:AB9)</f>
        <v>1</v>
      </c>
      <c r="AC5" s="8">
        <f t="shared" ref="AC5" si="9">SUM(AC6:AC9)</f>
        <v>0</v>
      </c>
      <c r="AD5" s="8">
        <f t="shared" ref="AD5" si="10">SUM(AD6:AD9)</f>
        <v>0</v>
      </c>
      <c r="AE5" s="8">
        <f t="shared" ref="AE5" si="11">SUM(AE6:AE9)</f>
        <v>1</v>
      </c>
      <c r="AF5" s="8">
        <f t="shared" ref="AF5" si="12">SUM(AF6:AF9)</f>
        <v>3</v>
      </c>
      <c r="AG5" s="8">
        <f t="shared" ref="AG5" si="13">SUM(AG6:AG9)</f>
        <v>3</v>
      </c>
      <c r="AH5" s="8">
        <f t="shared" ref="AH5" si="14">SUM(AH6:AH9)</f>
        <v>1</v>
      </c>
      <c r="AI5" s="8">
        <f t="shared" ref="AI5" si="15">SUM(AI6:AI9)</f>
        <v>1</v>
      </c>
      <c r="AJ5" s="8">
        <f t="shared" ref="AJ5" si="16">SUM(AJ6:AJ9)</f>
        <v>2</v>
      </c>
      <c r="AK5" s="8">
        <f t="shared" ref="AK5" si="17">SUM(AK6:AK9)</f>
        <v>0</v>
      </c>
      <c r="AL5" s="8">
        <f t="shared" ref="AL5" si="18">SUM(AL6:AL9)</f>
        <v>0</v>
      </c>
      <c r="AM5" s="8">
        <f t="shared" ref="AM5" si="19">SUM(AM6:AM9)</f>
        <v>2</v>
      </c>
      <c r="AN5" s="8">
        <f t="shared" ref="AN5" si="20">SUM(AN6:AN9)</f>
        <v>1</v>
      </c>
      <c r="AO5" s="8">
        <f t="shared" ref="AO5" si="21">SUM(AO6:AO9)</f>
        <v>3</v>
      </c>
      <c r="AP5" s="8">
        <f t="shared" ref="AP5" si="22">SUM(AP6:AP9)</f>
        <v>3</v>
      </c>
      <c r="AQ5" s="8">
        <f t="shared" ref="AQ5" si="23">SUM(AQ6:AQ9)</f>
        <v>1</v>
      </c>
      <c r="AR5" s="8">
        <f t="shared" ref="AR5" si="24">SUM(AR6:AR9)</f>
        <v>1</v>
      </c>
      <c r="AS5" s="8">
        <f t="shared" ref="AS5" si="25">SUM(AS6:AS9)</f>
        <v>0</v>
      </c>
      <c r="AT5" s="8">
        <f t="shared" ref="AT5" si="26">SUM(AT6:AT9)</f>
        <v>0</v>
      </c>
      <c r="AU5" s="8">
        <f t="shared" ref="AU5" si="27">SUM(AU6:AU9)</f>
        <v>3</v>
      </c>
      <c r="AV5" s="8">
        <f t="shared" ref="AV5" si="28">SUM(AV6:AV9)</f>
        <v>3</v>
      </c>
      <c r="AW5" s="8">
        <f t="shared" ref="AW5" si="29">SUM(AW6:AW9)</f>
        <v>3</v>
      </c>
      <c r="AX5" s="8">
        <f t="shared" ref="AX5" si="30">SUM(AX6:AX9)</f>
        <v>3</v>
      </c>
      <c r="AY5" s="8">
        <f t="shared" ref="AY5" si="31">SUM(AY6:AY9)</f>
        <v>0</v>
      </c>
      <c r="AZ5" s="8">
        <f t="shared" ref="AZ5" si="32">SUM(AZ6:AZ9)</f>
        <v>0</v>
      </c>
      <c r="BA5" s="8">
        <f t="shared" ref="BA5" si="33">SUM(BA6:BA9)</f>
        <v>0</v>
      </c>
      <c r="BB5" s="8">
        <f t="shared" ref="BB5" si="34">SUM(BB6:BB9)</f>
        <v>0</v>
      </c>
      <c r="BC5" s="8">
        <f t="shared" ref="BC5" si="35">SUM(BC6:BC9)</f>
        <v>0</v>
      </c>
      <c r="BD5" s="8">
        <f t="shared" ref="BD5" si="36">SUM(BD6:BD9)</f>
        <v>0</v>
      </c>
      <c r="BE5" s="8">
        <f t="shared" ref="BE5" si="37">SUM(BE6:BE9)</f>
        <v>0</v>
      </c>
      <c r="BF5" s="8">
        <f t="shared" ref="BF5" si="38">SUM(BF6:BF9)</f>
        <v>0</v>
      </c>
      <c r="BG5" s="22">
        <f>SUM(C5:AR5)</f>
        <v>56</v>
      </c>
      <c r="BH5" s="21" t="s">
        <v>19</v>
      </c>
      <c r="BI5" s="21" t="s">
        <v>20</v>
      </c>
    </row>
    <row r="6" spans="1:61" x14ac:dyDescent="0.25">
      <c r="A6" s="7" t="s">
        <v>4</v>
      </c>
      <c r="B6" s="4">
        <v>1</v>
      </c>
      <c r="C6" s="5">
        <v>0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0</v>
      </c>
      <c r="J6" s="5">
        <v>0</v>
      </c>
      <c r="K6" s="5">
        <v>1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1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1</v>
      </c>
      <c r="Z6" s="5">
        <v>1</v>
      </c>
      <c r="AA6" s="5">
        <v>0</v>
      </c>
      <c r="AB6" s="5">
        <v>0</v>
      </c>
      <c r="AC6" s="5">
        <v>0</v>
      </c>
      <c r="AD6" s="5">
        <v>0</v>
      </c>
      <c r="AE6" s="5">
        <v>1</v>
      </c>
      <c r="AF6" s="5">
        <v>1</v>
      </c>
      <c r="AG6" s="5">
        <v>0</v>
      </c>
      <c r="AH6" s="5">
        <v>0</v>
      </c>
      <c r="AI6" s="5">
        <v>1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1</v>
      </c>
      <c r="AP6" s="5">
        <v>1</v>
      </c>
      <c r="AQ6" s="5">
        <v>0</v>
      </c>
      <c r="AR6" s="5">
        <v>1</v>
      </c>
      <c r="AS6" s="5">
        <v>0</v>
      </c>
      <c r="AT6" s="5">
        <v>0</v>
      </c>
      <c r="AU6" s="5">
        <v>1</v>
      </c>
      <c r="AV6" s="5">
        <v>0</v>
      </c>
      <c r="AW6" s="5">
        <v>1</v>
      </c>
      <c r="AX6" s="5">
        <v>1</v>
      </c>
      <c r="AY6" s="5"/>
      <c r="AZ6" s="5"/>
      <c r="BA6" s="5"/>
      <c r="BB6" s="5"/>
      <c r="BC6" s="5"/>
      <c r="BD6" s="5"/>
      <c r="BE6" s="5"/>
      <c r="BF6" s="5"/>
      <c r="BG6" s="22">
        <f>SUM(C6:AR6)</f>
        <v>14</v>
      </c>
      <c r="BH6" s="8">
        <f>'Employee Hours'!B3</f>
        <v>12</v>
      </c>
      <c r="BI6" s="8">
        <f>'Employee Hours'!C3</f>
        <v>14</v>
      </c>
    </row>
    <row r="7" spans="1:61" x14ac:dyDescent="0.25">
      <c r="B7" s="4">
        <v>2</v>
      </c>
      <c r="C7" s="5">
        <v>1</v>
      </c>
      <c r="D7" s="5">
        <v>0</v>
      </c>
      <c r="E7" s="5">
        <v>0</v>
      </c>
      <c r="F7" s="5">
        <v>0</v>
      </c>
      <c r="G7" s="5">
        <v>1</v>
      </c>
      <c r="H7" s="5">
        <v>0</v>
      </c>
      <c r="I7" s="5">
        <v>1</v>
      </c>
      <c r="J7" s="5">
        <v>1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1</v>
      </c>
      <c r="R7" s="5">
        <v>1</v>
      </c>
      <c r="S7" s="5">
        <v>0</v>
      </c>
      <c r="T7" s="5">
        <v>0</v>
      </c>
      <c r="U7" s="5">
        <v>0</v>
      </c>
      <c r="V7" s="5">
        <v>0</v>
      </c>
      <c r="W7" s="5">
        <v>1</v>
      </c>
      <c r="X7" s="5">
        <v>0</v>
      </c>
      <c r="Y7" s="5">
        <v>1</v>
      </c>
      <c r="Z7" s="5">
        <v>0</v>
      </c>
      <c r="AA7" s="5">
        <v>1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1</v>
      </c>
      <c r="AH7" s="5">
        <v>0</v>
      </c>
      <c r="AI7" s="5">
        <v>0</v>
      </c>
      <c r="AJ7" s="5">
        <v>1</v>
      </c>
      <c r="AK7" s="5">
        <v>0</v>
      </c>
      <c r="AL7" s="5">
        <v>0</v>
      </c>
      <c r="AM7" s="5">
        <v>1</v>
      </c>
      <c r="AN7" s="5">
        <v>1</v>
      </c>
      <c r="AO7" s="5">
        <v>0</v>
      </c>
      <c r="AP7" s="5">
        <v>1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1</v>
      </c>
      <c r="AW7" s="5">
        <v>1</v>
      </c>
      <c r="AX7" s="5">
        <v>1</v>
      </c>
      <c r="AY7" s="5"/>
      <c r="AZ7" s="5"/>
      <c r="BA7" s="5"/>
      <c r="BB7" s="5"/>
      <c r="BC7" s="5"/>
      <c r="BD7" s="5"/>
      <c r="BE7" s="5"/>
      <c r="BF7" s="5"/>
      <c r="BG7" s="22">
        <f>SUM(C7:AR7)</f>
        <v>14</v>
      </c>
      <c r="BH7" s="8">
        <f>'Employee Hours'!B4</f>
        <v>12</v>
      </c>
      <c r="BI7" s="8">
        <f>'Employee Hours'!C4</f>
        <v>14</v>
      </c>
    </row>
    <row r="8" spans="1:61" x14ac:dyDescent="0.25">
      <c r="B8" s="4">
        <v>3</v>
      </c>
      <c r="C8" s="5">
        <v>1</v>
      </c>
      <c r="D8" s="5">
        <v>1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1</v>
      </c>
      <c r="Q8" s="5">
        <v>0</v>
      </c>
      <c r="R8" s="5">
        <v>0</v>
      </c>
      <c r="S8" s="5">
        <v>1</v>
      </c>
      <c r="T8" s="5">
        <v>0</v>
      </c>
      <c r="U8" s="5">
        <v>0</v>
      </c>
      <c r="V8" s="5">
        <v>0</v>
      </c>
      <c r="W8" s="5">
        <v>0</v>
      </c>
      <c r="X8" s="5">
        <v>1</v>
      </c>
      <c r="Y8" s="5">
        <v>0</v>
      </c>
      <c r="Z8" s="5">
        <v>0</v>
      </c>
      <c r="AA8" s="5">
        <v>0</v>
      </c>
      <c r="AB8" s="5">
        <v>1</v>
      </c>
      <c r="AC8" s="5">
        <v>0</v>
      </c>
      <c r="AD8" s="5">
        <v>0</v>
      </c>
      <c r="AE8" s="5">
        <v>0</v>
      </c>
      <c r="AF8" s="5">
        <v>1</v>
      </c>
      <c r="AG8" s="5">
        <v>1</v>
      </c>
      <c r="AH8" s="5">
        <v>0</v>
      </c>
      <c r="AI8" s="5">
        <v>0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1</v>
      </c>
      <c r="AQ8" s="5">
        <v>1</v>
      </c>
      <c r="AR8" s="5">
        <v>0</v>
      </c>
      <c r="AS8" s="5">
        <v>0</v>
      </c>
      <c r="AT8" s="5">
        <v>0</v>
      </c>
      <c r="AU8" s="5">
        <v>1</v>
      </c>
      <c r="AV8" s="5">
        <v>1</v>
      </c>
      <c r="AW8" s="5">
        <v>0</v>
      </c>
      <c r="AX8" s="5">
        <v>1</v>
      </c>
      <c r="AY8" s="5"/>
      <c r="AZ8" s="5"/>
      <c r="BA8" s="5"/>
      <c r="BB8" s="5"/>
      <c r="BC8" s="5"/>
      <c r="BD8" s="5"/>
      <c r="BE8" s="5"/>
      <c r="BF8" s="5"/>
      <c r="BG8" s="22">
        <f>SUM(C8:AR8)</f>
        <v>14</v>
      </c>
      <c r="BH8" s="8">
        <f>'Employee Hours'!B5</f>
        <v>12</v>
      </c>
      <c r="BI8" s="8">
        <f>'Employee Hours'!C5</f>
        <v>14</v>
      </c>
    </row>
    <row r="9" spans="1:61" x14ac:dyDescent="0.25">
      <c r="B9" s="4">
        <v>4</v>
      </c>
      <c r="C9" s="5">
        <v>1</v>
      </c>
      <c r="D9" s="5">
        <v>0</v>
      </c>
      <c r="E9" s="5">
        <v>0</v>
      </c>
      <c r="F9" s="5">
        <v>0</v>
      </c>
      <c r="G9" s="5">
        <v>1</v>
      </c>
      <c r="H9" s="5">
        <v>0</v>
      </c>
      <c r="I9" s="5">
        <v>0</v>
      </c>
      <c r="J9" s="5">
        <v>0</v>
      </c>
      <c r="K9" s="5">
        <v>0</v>
      </c>
      <c r="L9" s="5">
        <v>1</v>
      </c>
      <c r="M9" s="5">
        <v>0</v>
      </c>
      <c r="N9" s="5">
        <v>0</v>
      </c>
      <c r="O9" s="5">
        <v>1</v>
      </c>
      <c r="P9" s="5">
        <v>0</v>
      </c>
      <c r="Q9" s="5">
        <v>1</v>
      </c>
      <c r="R9" s="5">
        <v>0</v>
      </c>
      <c r="S9" s="5">
        <v>0</v>
      </c>
      <c r="T9" s="5">
        <v>1</v>
      </c>
      <c r="U9" s="5">
        <v>0</v>
      </c>
      <c r="V9" s="5">
        <v>0</v>
      </c>
      <c r="W9" s="5">
        <v>0</v>
      </c>
      <c r="X9" s="5">
        <v>1</v>
      </c>
      <c r="Y9" s="5">
        <v>1</v>
      </c>
      <c r="Z9" s="5">
        <v>0</v>
      </c>
      <c r="AA9" s="5">
        <v>1</v>
      </c>
      <c r="AB9" s="5">
        <v>0</v>
      </c>
      <c r="AC9" s="5">
        <v>0</v>
      </c>
      <c r="AD9" s="5">
        <v>0</v>
      </c>
      <c r="AE9" s="5">
        <v>0</v>
      </c>
      <c r="AF9" s="5">
        <v>1</v>
      </c>
      <c r="AG9" s="5">
        <v>1</v>
      </c>
      <c r="AH9" s="5">
        <v>1</v>
      </c>
      <c r="AI9" s="5">
        <v>0</v>
      </c>
      <c r="AJ9" s="5">
        <v>0</v>
      </c>
      <c r="AK9" s="5">
        <v>0</v>
      </c>
      <c r="AL9" s="5">
        <v>0</v>
      </c>
      <c r="AM9" s="5">
        <v>1</v>
      </c>
      <c r="AN9" s="5">
        <v>0</v>
      </c>
      <c r="AO9" s="5">
        <v>1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</v>
      </c>
      <c r="AV9" s="5">
        <v>1</v>
      </c>
      <c r="AW9" s="5">
        <v>1</v>
      </c>
      <c r="AX9" s="5">
        <v>0</v>
      </c>
      <c r="AY9" s="5"/>
      <c r="AZ9" s="5"/>
      <c r="BA9" s="5"/>
      <c r="BB9" s="5"/>
      <c r="BC9" s="5"/>
      <c r="BD9" s="5"/>
      <c r="BE9" s="5"/>
      <c r="BF9" s="5"/>
      <c r="BG9" s="22">
        <f>SUM(C9:AR9)</f>
        <v>14</v>
      </c>
      <c r="BH9" s="8">
        <f>'Employee Hours'!B6</f>
        <v>12</v>
      </c>
      <c r="BI9" s="8">
        <f>'Employee Hours'!C6</f>
        <v>14</v>
      </c>
    </row>
    <row r="10" spans="1:61" x14ac:dyDescent="0.25">
      <c r="B10" s="9" t="s">
        <v>15</v>
      </c>
      <c r="C10" s="25">
        <f>SUMPRODUCT(C6:AX9,C12:AX15)</f>
        <v>93.523809523809447</v>
      </c>
      <c r="D10" s="25"/>
      <c r="E10" s="25"/>
      <c r="F10" s="25"/>
      <c r="G10" s="25"/>
      <c r="H10" s="25"/>
      <c r="I10" s="25"/>
      <c r="J10" s="25"/>
      <c r="K10" s="25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</row>
    <row r="11" spans="1:61" x14ac:dyDescent="0.25"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</row>
    <row r="12" spans="1:61" x14ac:dyDescent="0.25">
      <c r="A12" s="7" t="s">
        <v>8</v>
      </c>
      <c r="B12" s="4">
        <v>1</v>
      </c>
      <c r="C12">
        <f>'Employee Availability'!C5 * IF('Employee Preference'!C5&gt;0,1+'Employee Preference'!$BI5,1-'Employee Preference'!$BJ5)</f>
        <v>0.5</v>
      </c>
      <c r="D12">
        <f>'Employee Availability'!D5 * IF('Employee Preference'!D5&gt;0,1+'Employee Preference'!$BI5,1-'Employee Preference'!$BJ5)</f>
        <v>1.5</v>
      </c>
      <c r="E12">
        <f>'Employee Availability'!E5 * IF('Employee Preference'!E5&gt;0,1+'Employee Preference'!$BI5,1-'Employee Preference'!$BJ5)</f>
        <v>0</v>
      </c>
      <c r="F12">
        <f>'Employee Availability'!F5 * IF('Employee Preference'!F5&gt;0,1+'Employee Preference'!$BI5,1-'Employee Preference'!$BJ5)</f>
        <v>0</v>
      </c>
      <c r="G12">
        <f>'Employee Availability'!G5 * IF('Employee Preference'!G5&gt;0,1+'Employee Preference'!$BI5,1-'Employee Preference'!$BJ5)</f>
        <v>1.5</v>
      </c>
      <c r="H12">
        <f>'Employee Availability'!H5 * IF('Employee Preference'!H5&gt;0,1+'Employee Preference'!$BI5,1-'Employee Preference'!$BJ5)</f>
        <v>1.5</v>
      </c>
      <c r="I12">
        <f>'Employee Availability'!I5 * IF('Employee Preference'!I5&gt;0,1+'Employee Preference'!$BI5,1-'Employee Preference'!$BJ5)</f>
        <v>0.5</v>
      </c>
      <c r="J12">
        <f>'Employee Availability'!J5 * IF('Employee Preference'!J5&gt;0,1+'Employee Preference'!$BI5,1-'Employee Preference'!$BJ5)</f>
        <v>0.5</v>
      </c>
      <c r="K12">
        <f>'Employee Availability'!K5 * IF('Employee Preference'!K5&gt;0,1+'Employee Preference'!$BI5,1-'Employee Preference'!$BJ5)</f>
        <v>1.5</v>
      </c>
      <c r="L12">
        <f>'Employee Availability'!L5 * IF('Employee Preference'!L5&gt;0,1+'Employee Preference'!$BI5,1-'Employee Preference'!$BJ5)</f>
        <v>1.5</v>
      </c>
      <c r="M12">
        <f>'Employee Availability'!M5 * IF('Employee Preference'!M5&gt;0,1+'Employee Preference'!$BI5,1-'Employee Preference'!$BJ5)</f>
        <v>0</v>
      </c>
      <c r="N12">
        <f>'Employee Availability'!N5 * IF('Employee Preference'!N5&gt;0,1+'Employee Preference'!$BI5,1-'Employee Preference'!$BJ5)</f>
        <v>0</v>
      </c>
      <c r="O12">
        <f>'Employee Availability'!O5 * IF('Employee Preference'!O5&gt;0,1+'Employee Preference'!$BI5,1-'Employee Preference'!$BJ5)</f>
        <v>0.5</v>
      </c>
      <c r="P12">
        <f>'Employee Availability'!P5 * IF('Employee Preference'!P5&gt;0,1+'Employee Preference'!$BI5,1-'Employee Preference'!$BJ5)</f>
        <v>0.5</v>
      </c>
      <c r="Q12">
        <f>'Employee Availability'!Q5 * IF('Employee Preference'!Q5&gt;0,1+'Employee Preference'!$BI5,1-'Employee Preference'!$BJ5)</f>
        <v>1.5</v>
      </c>
      <c r="R12">
        <f>'Employee Availability'!R5 * IF('Employee Preference'!R5&gt;0,1+'Employee Preference'!$BI5,1-'Employee Preference'!$BJ5)</f>
        <v>0.5</v>
      </c>
      <c r="S12">
        <f>'Employee Availability'!S5 * IF('Employee Preference'!S5&gt;0,1+'Employee Preference'!$BI5,1-'Employee Preference'!$BJ5)</f>
        <v>0.5</v>
      </c>
      <c r="T12">
        <f>'Employee Availability'!T5 * IF('Employee Preference'!T5&gt;0,1+'Employee Preference'!$BI5,1-'Employee Preference'!$BJ5)</f>
        <v>0.5</v>
      </c>
      <c r="U12">
        <f>'Employee Availability'!U5 * IF('Employee Preference'!U5&gt;0,1+'Employee Preference'!$BI5,1-'Employee Preference'!$BJ5)</f>
        <v>0</v>
      </c>
      <c r="V12">
        <f>'Employee Availability'!V5 * IF('Employee Preference'!V5&gt;0,1+'Employee Preference'!$BI5,1-'Employee Preference'!$BJ5)</f>
        <v>0</v>
      </c>
      <c r="W12">
        <f>'Employee Availability'!W5 * IF('Employee Preference'!W5&gt;0,1+'Employee Preference'!$BI5,1-'Employee Preference'!$BJ5)</f>
        <v>1.5</v>
      </c>
      <c r="X12">
        <f>'Employee Availability'!X5 * IF('Employee Preference'!X5&gt;0,1+'Employee Preference'!$BI5,1-'Employee Preference'!$BJ5)</f>
        <v>1.5</v>
      </c>
      <c r="Y12">
        <f>'Employee Availability'!Y5 * IF('Employee Preference'!Y5&gt;0,1+'Employee Preference'!$BI5,1-'Employee Preference'!$BJ5)</f>
        <v>1.5</v>
      </c>
      <c r="Z12">
        <f>'Employee Availability'!Z5 * IF('Employee Preference'!Z5&gt;0,1+'Employee Preference'!$BI5,1-'Employee Preference'!$BJ5)</f>
        <v>1.5</v>
      </c>
      <c r="AA12">
        <f>'Employee Availability'!AA5 * IF('Employee Preference'!AA5&gt;0,1+'Employee Preference'!$BI5,1-'Employee Preference'!$BJ5)</f>
        <v>0.5</v>
      </c>
      <c r="AB12">
        <f>'Employee Availability'!AB5 * IF('Employee Preference'!AB5&gt;0,1+'Employee Preference'!$BI5,1-'Employee Preference'!$BJ5)</f>
        <v>0.5</v>
      </c>
      <c r="AC12">
        <f>'Employee Availability'!AC5 * IF('Employee Preference'!AC5&gt;0,1+'Employee Preference'!$BI5,1-'Employee Preference'!$BJ5)</f>
        <v>0</v>
      </c>
      <c r="AD12">
        <f>'Employee Availability'!AD5 * IF('Employee Preference'!AD5&gt;0,1+'Employee Preference'!$BI5,1-'Employee Preference'!$BJ5)</f>
        <v>0</v>
      </c>
      <c r="AE12">
        <f>'Employee Availability'!AE5 * IF('Employee Preference'!AE5&gt;0,1+'Employee Preference'!$BI5,1-'Employee Preference'!$BJ5)</f>
        <v>1.5</v>
      </c>
      <c r="AF12">
        <f>'Employee Availability'!AF5 * IF('Employee Preference'!AF5&gt;0,1+'Employee Preference'!$BI5,1-'Employee Preference'!$BJ5)</f>
        <v>1.5</v>
      </c>
      <c r="AG12">
        <f>'Employee Availability'!AG5 * IF('Employee Preference'!AG5&gt;0,1+'Employee Preference'!$BI5,1-'Employee Preference'!$BJ5)</f>
        <v>0.5</v>
      </c>
      <c r="AH12">
        <f>'Employee Availability'!AH5 * IF('Employee Preference'!AH5&gt;0,1+'Employee Preference'!$BI5,1-'Employee Preference'!$BJ5)</f>
        <v>0.5</v>
      </c>
      <c r="AI12">
        <f>'Employee Availability'!AI5 * IF('Employee Preference'!AI5&gt;0,1+'Employee Preference'!$BI5,1-'Employee Preference'!$BJ5)</f>
        <v>1.5</v>
      </c>
      <c r="AJ12">
        <f>'Employee Availability'!AJ5 * IF('Employee Preference'!AJ5&gt;0,1+'Employee Preference'!$BI5,1-'Employee Preference'!$BJ5)</f>
        <v>0.5</v>
      </c>
      <c r="AK12">
        <f>'Employee Availability'!AK5 * IF('Employee Preference'!AK5&gt;0,1+'Employee Preference'!$BI5,1-'Employee Preference'!$BJ5)</f>
        <v>0</v>
      </c>
      <c r="AL12">
        <f>'Employee Availability'!AL5 * IF('Employee Preference'!AL5&gt;0,1+'Employee Preference'!$BI5,1-'Employee Preference'!$BJ5)</f>
        <v>0</v>
      </c>
      <c r="AM12">
        <f>'Employee Availability'!AM5 * IF('Employee Preference'!AM5&gt;0,1+'Employee Preference'!$BI5,1-'Employee Preference'!$BJ5)</f>
        <v>0.5</v>
      </c>
      <c r="AN12">
        <f>'Employee Availability'!AN5 * IF('Employee Preference'!AN5&gt;0,1+'Employee Preference'!$BI5,1-'Employee Preference'!$BJ5)</f>
        <v>0.5</v>
      </c>
      <c r="AO12">
        <f>'Employee Availability'!AO5 * IF('Employee Preference'!AO5&gt;0,1+'Employee Preference'!$BI5,1-'Employee Preference'!$BJ5)</f>
        <v>1.5</v>
      </c>
      <c r="AP12">
        <f>'Employee Availability'!AP5 * IF('Employee Preference'!AP5&gt;0,1+'Employee Preference'!$BI5,1-'Employee Preference'!$BJ5)</f>
        <v>1.5</v>
      </c>
      <c r="AQ12">
        <f>'Employee Availability'!AQ5 * IF('Employee Preference'!AQ5&gt;0,1+'Employee Preference'!$BI5,1-'Employee Preference'!$BJ5)</f>
        <v>1.5</v>
      </c>
      <c r="AR12">
        <f>'Employee Availability'!AR5 * IF('Employee Preference'!AR5&gt;0,1+'Employee Preference'!$BI5,1-'Employee Preference'!$BJ5)</f>
        <v>1.5</v>
      </c>
      <c r="AS12">
        <f>'Employee Availability'!AS5 * IF('Employee Preference'!AS5&gt;0,1+'Employee Preference'!$BI5,1-'Employee Preference'!$BJ5)</f>
        <v>0</v>
      </c>
      <c r="AT12">
        <f>'Employee Availability'!AT5 * IF('Employee Preference'!AT5&gt;0,1+'Employee Preference'!$BI5,1-'Employee Preference'!$BJ5)</f>
        <v>0</v>
      </c>
      <c r="AU12">
        <f>'Employee Availability'!AU5 * IF('Employee Preference'!AU5&gt;0,1+'Employee Preference'!$BI5,1-'Employee Preference'!$BJ5)</f>
        <v>1.5</v>
      </c>
      <c r="AV12">
        <f>'Employee Availability'!AV5 * IF('Employee Preference'!AV5&gt;0,1+'Employee Preference'!$BI5,1-'Employee Preference'!$BJ5)</f>
        <v>0.5</v>
      </c>
      <c r="AW12">
        <f>'Employee Availability'!AW5 * IF('Employee Preference'!AW5&gt;0,1+'Employee Preference'!$BI5,1-'Employee Preference'!$BJ5)</f>
        <v>0.5</v>
      </c>
      <c r="AX12">
        <f>'Employee Availability'!AX5 * IF('Employee Preference'!AX5&gt;0,1+'Employee Preference'!$BI5,1-'Employee Preference'!$BJ5)</f>
        <v>1.5</v>
      </c>
      <c r="AY12">
        <f>'Employee Availability'!AY5 * IF('Employee Preference'!AY5&gt;0,1+'Employee Preference'!$BI5,1-'Employee Preference'!$BJ5)</f>
        <v>0.5</v>
      </c>
      <c r="AZ12">
        <f>'Employee Availability'!AZ5 * IF('Employee Preference'!AZ5&gt;0,1+'Employee Preference'!$BI5,1-'Employee Preference'!$BJ5)</f>
        <v>0.5</v>
      </c>
      <c r="BA12">
        <f>'Employee Availability'!BA5 * IF('Employee Preference'!BA5&gt;0,1+'Employee Preference'!$BI5,1-'Employee Preference'!$BJ5)</f>
        <v>0</v>
      </c>
      <c r="BB12">
        <f>'Employee Availability'!BB5 * IF('Employee Preference'!BB5&gt;0,1+'Employee Preference'!$BI5,1-'Employee Preference'!$BJ5)</f>
        <v>0</v>
      </c>
      <c r="BC12">
        <f>'Employee Availability'!BC5 * IF('Employee Preference'!BC5&gt;0,1+'Employee Preference'!$BI5,1-'Employee Preference'!$BJ5)</f>
        <v>1.5</v>
      </c>
      <c r="BD12">
        <f>'Employee Availability'!BD5 * IF('Employee Preference'!BD5&gt;0,1+'Employee Preference'!$BI5,1-'Employee Preference'!$BJ5)</f>
        <v>0.5</v>
      </c>
      <c r="BE12">
        <f>'Employee Availability'!BE5 * IF('Employee Preference'!BE5&gt;0,1+'Employee Preference'!$BI5,1-'Employee Preference'!$BJ5)</f>
        <v>0.5</v>
      </c>
      <c r="BF12">
        <f>'Employee Availability'!BF5 * IF('Employee Preference'!BF5&gt;0,1+'Employee Preference'!$BI5,1-'Employee Preference'!$BJ5)</f>
        <v>1.5</v>
      </c>
    </row>
    <row r="13" spans="1:61" x14ac:dyDescent="0.25">
      <c r="B13" s="4">
        <v>2</v>
      </c>
      <c r="C13">
        <f>'Employee Availability'!C6 * IF('Employee Preference'!C6&gt;0,1+'Employee Preference'!$BI6,1-'Employee Preference'!$BJ6)</f>
        <v>1.3095238095238095</v>
      </c>
      <c r="D13">
        <f>'Employee Availability'!D6 * IF('Employee Preference'!D6&gt;0,1+'Employee Preference'!$BI6,1-'Employee Preference'!$BJ6)</f>
        <v>0.30952380952380953</v>
      </c>
      <c r="E13">
        <f>'Employee Availability'!E6 * IF('Employee Preference'!E6&gt;0,1+'Employee Preference'!$BI6,1-'Employee Preference'!$BJ6)</f>
        <v>0</v>
      </c>
      <c r="F13">
        <f>'Employee Availability'!F6 * IF('Employee Preference'!F6&gt;0,1+'Employee Preference'!$BI6,1-'Employee Preference'!$BJ6)</f>
        <v>0</v>
      </c>
      <c r="G13">
        <f>'Employee Availability'!G6 * IF('Employee Preference'!G6&gt;0,1+'Employee Preference'!$BI6,1-'Employee Preference'!$BJ6)</f>
        <v>1.3095238095238095</v>
      </c>
      <c r="H13">
        <f>'Employee Availability'!H6 * IF('Employee Preference'!H6&gt;0,1+'Employee Preference'!$BI6,1-'Employee Preference'!$BJ6)</f>
        <v>1.3095238095238095</v>
      </c>
      <c r="I13">
        <f>'Employee Availability'!I6 * IF('Employee Preference'!I6&gt;0,1+'Employee Preference'!$BI6,1-'Employee Preference'!$BJ6)</f>
        <v>1.3095238095238095</v>
      </c>
      <c r="J13">
        <f>'Employee Availability'!J6 * IF('Employee Preference'!J6&gt;0,1+'Employee Preference'!$BI6,1-'Employee Preference'!$BJ6)</f>
        <v>1.3095238095238095</v>
      </c>
      <c r="K13">
        <f>'Employee Availability'!K6 * IF('Employee Preference'!K6&gt;0,1+'Employee Preference'!$BI6,1-'Employee Preference'!$BJ6)</f>
        <v>0.30952380952380953</v>
      </c>
      <c r="L13">
        <f>'Employee Availability'!L6 * IF('Employee Preference'!L6&gt;0,1+'Employee Preference'!$BI6,1-'Employee Preference'!$BJ6)</f>
        <v>0.30952380952380953</v>
      </c>
      <c r="M13">
        <f>'Employee Availability'!M6 * IF('Employee Preference'!M6&gt;0,1+'Employee Preference'!$BI6,1-'Employee Preference'!$BJ6)</f>
        <v>0</v>
      </c>
      <c r="N13">
        <f>'Employee Availability'!N6 * IF('Employee Preference'!N6&gt;0,1+'Employee Preference'!$BI6,1-'Employee Preference'!$BJ6)</f>
        <v>0</v>
      </c>
      <c r="O13">
        <f>'Employee Availability'!O6 * IF('Employee Preference'!O6&gt;0,1+'Employee Preference'!$BI6,1-'Employee Preference'!$BJ6)</f>
        <v>1.3095238095238095</v>
      </c>
      <c r="P13">
        <f>'Employee Availability'!P6 * IF('Employee Preference'!P6&gt;0,1+'Employee Preference'!$BI6,1-'Employee Preference'!$BJ6)</f>
        <v>0.30952380952380953</v>
      </c>
      <c r="Q13">
        <f>'Employee Availability'!Q6 * IF('Employee Preference'!Q6&gt;0,1+'Employee Preference'!$BI6,1-'Employee Preference'!$BJ6)</f>
        <v>1.3095238095238095</v>
      </c>
      <c r="R13">
        <f>'Employee Availability'!R6 * IF('Employee Preference'!R6&gt;0,1+'Employee Preference'!$BI6,1-'Employee Preference'!$BJ6)</f>
        <v>1.3095238095238095</v>
      </c>
      <c r="S13">
        <f>'Employee Availability'!S6 * IF('Employee Preference'!S6&gt;0,1+'Employee Preference'!$BI6,1-'Employee Preference'!$BJ6)</f>
        <v>0.30952380952380953</v>
      </c>
      <c r="T13">
        <f>'Employee Availability'!T6 * IF('Employee Preference'!T6&gt;0,1+'Employee Preference'!$BI6,1-'Employee Preference'!$BJ6)</f>
        <v>0.30952380952380953</v>
      </c>
      <c r="U13">
        <f>'Employee Availability'!U6 * IF('Employee Preference'!U6&gt;0,1+'Employee Preference'!$BI6,1-'Employee Preference'!$BJ6)</f>
        <v>0</v>
      </c>
      <c r="V13">
        <f>'Employee Availability'!V6 * IF('Employee Preference'!V6&gt;0,1+'Employee Preference'!$BI6,1-'Employee Preference'!$BJ6)</f>
        <v>0</v>
      </c>
      <c r="W13">
        <f>'Employee Availability'!W6 * IF('Employee Preference'!W6&gt;0,1+'Employee Preference'!$BI6,1-'Employee Preference'!$BJ6)</f>
        <v>1.3095238095238095</v>
      </c>
      <c r="X13">
        <f>'Employee Availability'!X6 * IF('Employee Preference'!X6&gt;0,1+'Employee Preference'!$BI6,1-'Employee Preference'!$BJ6)</f>
        <v>1.3095238095238095</v>
      </c>
      <c r="Y13">
        <f>'Employee Availability'!Y6 * IF('Employee Preference'!Y6&gt;0,1+'Employee Preference'!$BI6,1-'Employee Preference'!$BJ6)</f>
        <v>1.3095238095238095</v>
      </c>
      <c r="Z13">
        <f>'Employee Availability'!Z6 * IF('Employee Preference'!Z6&gt;0,1+'Employee Preference'!$BI6,1-'Employee Preference'!$BJ6)</f>
        <v>1.3095238095238095</v>
      </c>
      <c r="AA13">
        <f>'Employee Availability'!AA6 * IF('Employee Preference'!AA6&gt;0,1+'Employee Preference'!$BI6,1-'Employee Preference'!$BJ6)</f>
        <v>1.3095238095238095</v>
      </c>
      <c r="AB13">
        <f>'Employee Availability'!AB6 * IF('Employee Preference'!AB6&gt;0,1+'Employee Preference'!$BI6,1-'Employee Preference'!$BJ6)</f>
        <v>0.30952380952380953</v>
      </c>
      <c r="AC13">
        <f>'Employee Availability'!AC6 * IF('Employee Preference'!AC6&gt;0,1+'Employee Preference'!$BI6,1-'Employee Preference'!$BJ6)</f>
        <v>0</v>
      </c>
      <c r="AD13">
        <f>'Employee Availability'!AD6 * IF('Employee Preference'!AD6&gt;0,1+'Employee Preference'!$BI6,1-'Employee Preference'!$BJ6)</f>
        <v>0</v>
      </c>
      <c r="AE13">
        <f>'Employee Availability'!AE6 * IF('Employee Preference'!AE6&gt;0,1+'Employee Preference'!$BI6,1-'Employee Preference'!$BJ6)</f>
        <v>0.30952380952380953</v>
      </c>
      <c r="AF13">
        <f>'Employee Availability'!AF6 * IF('Employee Preference'!AF6&gt;0,1+'Employee Preference'!$BI6,1-'Employee Preference'!$BJ6)</f>
        <v>0.30952380952380953</v>
      </c>
      <c r="AG13">
        <f>'Employee Availability'!AG6 * IF('Employee Preference'!AG6&gt;0,1+'Employee Preference'!$BI6,1-'Employee Preference'!$BJ6)</f>
        <v>1.3095238095238095</v>
      </c>
      <c r="AH13">
        <f>'Employee Availability'!AH6 * IF('Employee Preference'!AH6&gt;0,1+'Employee Preference'!$BI6,1-'Employee Preference'!$BJ6)</f>
        <v>1.3095238095238095</v>
      </c>
      <c r="AI13">
        <f>'Employee Availability'!AI6 * IF('Employee Preference'!AI6&gt;0,1+'Employee Preference'!$BI6,1-'Employee Preference'!$BJ6)</f>
        <v>1.3095238095238095</v>
      </c>
      <c r="AJ13">
        <f>'Employee Availability'!AJ6 * IF('Employee Preference'!AJ6&gt;0,1+'Employee Preference'!$BI6,1-'Employee Preference'!$BJ6)</f>
        <v>1.3095238095238095</v>
      </c>
      <c r="AK13">
        <f>'Employee Availability'!AK6 * IF('Employee Preference'!AK6&gt;0,1+'Employee Preference'!$BI6,1-'Employee Preference'!$BJ6)</f>
        <v>0</v>
      </c>
      <c r="AL13">
        <f>'Employee Availability'!AL6 * IF('Employee Preference'!AL6&gt;0,1+'Employee Preference'!$BI6,1-'Employee Preference'!$BJ6)</f>
        <v>0</v>
      </c>
      <c r="AM13">
        <f>'Employee Availability'!AM6 * IF('Employee Preference'!AM6&gt;0,1+'Employee Preference'!$BI6,1-'Employee Preference'!$BJ6)</f>
        <v>1.3095238095238095</v>
      </c>
      <c r="AN13">
        <f>'Employee Availability'!AN6 * IF('Employee Preference'!AN6&gt;0,1+'Employee Preference'!$BI6,1-'Employee Preference'!$BJ6)</f>
        <v>1.3095238095238095</v>
      </c>
      <c r="AO13">
        <f>'Employee Availability'!AO6 * IF('Employee Preference'!AO6&gt;0,1+'Employee Preference'!$BI6,1-'Employee Preference'!$BJ6)</f>
        <v>1.3095238095238095</v>
      </c>
      <c r="AP13">
        <f>'Employee Availability'!AP6 * IF('Employee Preference'!AP6&gt;0,1+'Employee Preference'!$BI6,1-'Employee Preference'!$BJ6)</f>
        <v>1.3095238095238095</v>
      </c>
      <c r="AQ13">
        <f>'Employee Availability'!AQ6 * IF('Employee Preference'!AQ6&gt;0,1+'Employee Preference'!$BI6,1-'Employee Preference'!$BJ6)</f>
        <v>0.30952380952380953</v>
      </c>
      <c r="AR13">
        <f>'Employee Availability'!AR6 * IF('Employee Preference'!AR6&gt;0,1+'Employee Preference'!$BI6,1-'Employee Preference'!$BJ6)</f>
        <v>0.30952380952380953</v>
      </c>
      <c r="AS13">
        <f>'Employee Availability'!AS6 * IF('Employee Preference'!AS6&gt;0,1+'Employee Preference'!$BI6,1-'Employee Preference'!$BJ6)</f>
        <v>0</v>
      </c>
      <c r="AT13">
        <f>'Employee Availability'!AT6 * IF('Employee Preference'!AT6&gt;0,1+'Employee Preference'!$BI6,1-'Employee Preference'!$BJ6)</f>
        <v>0</v>
      </c>
      <c r="AU13">
        <f>'Employee Availability'!AU6 * IF('Employee Preference'!AU6&gt;0,1+'Employee Preference'!$BI6,1-'Employee Preference'!$BJ6)</f>
        <v>0.30952380952380953</v>
      </c>
      <c r="AV13">
        <f>'Employee Availability'!AV6 * IF('Employee Preference'!AV6&gt;0,1+'Employee Preference'!$BI6,1-'Employee Preference'!$BJ6)</f>
        <v>1.3095238095238095</v>
      </c>
      <c r="AW13">
        <f>'Employee Availability'!AW6 * IF('Employee Preference'!AW6&gt;0,1+'Employee Preference'!$BI6,1-'Employee Preference'!$BJ6)</f>
        <v>1.3095238095238095</v>
      </c>
      <c r="AX13">
        <f>'Employee Availability'!AX6 * IF('Employee Preference'!AX6&gt;0,1+'Employee Preference'!$BI6,1-'Employee Preference'!$BJ6)</f>
        <v>1.3095238095238095</v>
      </c>
      <c r="AY13">
        <f>'Employee Availability'!AY6 * IF('Employee Preference'!AY6&gt;0,1+'Employee Preference'!$BI6,1-'Employee Preference'!$BJ6)</f>
        <v>1.3095238095238095</v>
      </c>
      <c r="AZ13">
        <f>'Employee Availability'!AZ6 * IF('Employee Preference'!AZ6&gt;0,1+'Employee Preference'!$BI6,1-'Employee Preference'!$BJ6)</f>
        <v>1.3095238095238095</v>
      </c>
      <c r="BA13">
        <f>'Employee Availability'!BA6 * IF('Employee Preference'!BA6&gt;0,1+'Employee Preference'!$BI6,1-'Employee Preference'!$BJ6)</f>
        <v>0</v>
      </c>
      <c r="BB13">
        <f>'Employee Availability'!BB6 * IF('Employee Preference'!BB6&gt;0,1+'Employee Preference'!$BI6,1-'Employee Preference'!$BJ6)</f>
        <v>0</v>
      </c>
      <c r="BC13">
        <f>'Employee Availability'!BC6 * IF('Employee Preference'!BC6&gt;0,1+'Employee Preference'!$BI6,1-'Employee Preference'!$BJ6)</f>
        <v>0.30952380952380953</v>
      </c>
      <c r="BD13">
        <f>'Employee Availability'!BD6 * IF('Employee Preference'!BD6&gt;0,1+'Employee Preference'!$BI6,1-'Employee Preference'!$BJ6)</f>
        <v>1.3095238095238095</v>
      </c>
      <c r="BE13">
        <f>'Employee Availability'!BE6 * IF('Employee Preference'!BE6&gt;0,1+'Employee Preference'!$BI6,1-'Employee Preference'!$BJ6)</f>
        <v>1.3095238095238095</v>
      </c>
      <c r="BF13">
        <f>'Employee Availability'!BF6 * IF('Employee Preference'!BF6&gt;0,1+'Employee Preference'!$BI6,1-'Employee Preference'!$BJ6)</f>
        <v>1.3095238095238095</v>
      </c>
    </row>
    <row r="14" spans="1:61" x14ac:dyDescent="0.25">
      <c r="B14" s="4">
        <v>3</v>
      </c>
      <c r="C14">
        <f>'Employee Availability'!C7 * IF('Employee Preference'!C7&gt;0,1+'Employee Preference'!$BI7,1-'Employee Preference'!$BJ7)</f>
        <v>1.3571428571428572</v>
      </c>
      <c r="D14">
        <f>'Employee Availability'!D7 * IF('Employee Preference'!D7&gt;0,1+'Employee Preference'!$BI7,1-'Employee Preference'!$BJ7)</f>
        <v>1.3571428571428572</v>
      </c>
      <c r="E14">
        <f>'Employee Availability'!E7 * IF('Employee Preference'!E7&gt;0,1+'Employee Preference'!$BI7,1-'Employee Preference'!$BJ7)</f>
        <v>0</v>
      </c>
      <c r="F14">
        <f>'Employee Availability'!F7 * IF('Employee Preference'!F7&gt;0,1+'Employee Preference'!$BI7,1-'Employee Preference'!$BJ7)</f>
        <v>0</v>
      </c>
      <c r="G14">
        <f>'Employee Availability'!G7 * IF('Employee Preference'!G7&gt;0,1+'Employee Preference'!$BI7,1-'Employee Preference'!$BJ7)</f>
        <v>0.35714285714285721</v>
      </c>
      <c r="H14">
        <f>'Employee Availability'!H7 * IF('Employee Preference'!H7&gt;0,1+'Employee Preference'!$BI7,1-'Employee Preference'!$BJ7)</f>
        <v>1.3571428571428572</v>
      </c>
      <c r="I14">
        <f>'Employee Availability'!I7 * IF('Employee Preference'!I7&gt;0,1+'Employee Preference'!$BI7,1-'Employee Preference'!$BJ7)</f>
        <v>1.3571428571428572</v>
      </c>
      <c r="J14">
        <f>'Employee Availability'!J7 * IF('Employee Preference'!J7&gt;0,1+'Employee Preference'!$BI7,1-'Employee Preference'!$BJ7)</f>
        <v>1.3571428571428572</v>
      </c>
      <c r="K14">
        <f>'Employee Availability'!K7 * IF('Employee Preference'!K7&gt;0,1+'Employee Preference'!$BI7,1-'Employee Preference'!$BJ7)</f>
        <v>1.3571428571428572</v>
      </c>
      <c r="L14">
        <f>'Employee Availability'!L7 * IF('Employee Preference'!L7&gt;0,1+'Employee Preference'!$BI7,1-'Employee Preference'!$BJ7)</f>
        <v>0.35714285714285721</v>
      </c>
      <c r="M14">
        <f>'Employee Availability'!M7 * IF('Employee Preference'!M7&gt;0,1+'Employee Preference'!$BI7,1-'Employee Preference'!$BJ7)</f>
        <v>0</v>
      </c>
      <c r="N14">
        <f>'Employee Availability'!N7 * IF('Employee Preference'!N7&gt;0,1+'Employee Preference'!$BI7,1-'Employee Preference'!$BJ7)</f>
        <v>0</v>
      </c>
      <c r="O14">
        <f>'Employee Availability'!O7 * IF('Employee Preference'!O7&gt;0,1+'Employee Preference'!$BI7,1-'Employee Preference'!$BJ7)</f>
        <v>0.35714285714285721</v>
      </c>
      <c r="P14">
        <f>'Employee Availability'!P7 * IF('Employee Preference'!P7&gt;0,1+'Employee Preference'!$BI7,1-'Employee Preference'!$BJ7)</f>
        <v>1.3571428571428572</v>
      </c>
      <c r="Q14">
        <f>'Employee Availability'!Q7 * IF('Employee Preference'!Q7&gt;0,1+'Employee Preference'!$BI7,1-'Employee Preference'!$BJ7)</f>
        <v>0.35714285714285721</v>
      </c>
      <c r="R14">
        <f>'Employee Availability'!R7 * IF('Employee Preference'!R7&gt;0,1+'Employee Preference'!$BI7,1-'Employee Preference'!$BJ7)</f>
        <v>0.35714285714285721</v>
      </c>
      <c r="S14">
        <f>'Employee Availability'!S7 * IF('Employee Preference'!S7&gt;0,1+'Employee Preference'!$BI7,1-'Employee Preference'!$BJ7)</f>
        <v>1.3571428571428572</v>
      </c>
      <c r="T14">
        <f>'Employee Availability'!T7 * IF('Employee Preference'!T7&gt;0,1+'Employee Preference'!$BI7,1-'Employee Preference'!$BJ7)</f>
        <v>1.3571428571428572</v>
      </c>
      <c r="U14">
        <f>'Employee Availability'!U7 * IF('Employee Preference'!U7&gt;0,1+'Employee Preference'!$BI7,1-'Employee Preference'!$BJ7)</f>
        <v>0</v>
      </c>
      <c r="V14">
        <f>'Employee Availability'!V7 * IF('Employee Preference'!V7&gt;0,1+'Employee Preference'!$BI7,1-'Employee Preference'!$BJ7)</f>
        <v>0</v>
      </c>
      <c r="W14">
        <f>'Employee Availability'!W7 * IF('Employee Preference'!W7&gt;0,1+'Employee Preference'!$BI7,1-'Employee Preference'!$BJ7)</f>
        <v>1.3571428571428572</v>
      </c>
      <c r="X14">
        <f>'Employee Availability'!X7 * IF('Employee Preference'!X7&gt;0,1+'Employee Preference'!$BI7,1-'Employee Preference'!$BJ7)</f>
        <v>1.3571428571428572</v>
      </c>
      <c r="Y14">
        <f>'Employee Availability'!Y7 * IF('Employee Preference'!Y7&gt;0,1+'Employee Preference'!$BI7,1-'Employee Preference'!$BJ7)</f>
        <v>0.35714285714285721</v>
      </c>
      <c r="Z14">
        <f>'Employee Availability'!Z7 * IF('Employee Preference'!Z7&gt;0,1+'Employee Preference'!$BI7,1-'Employee Preference'!$BJ7)</f>
        <v>0.35714285714285721</v>
      </c>
      <c r="AA14">
        <f>'Employee Availability'!AA7 * IF('Employee Preference'!AA7&gt;0,1+'Employee Preference'!$BI7,1-'Employee Preference'!$BJ7)</f>
        <v>0.35714285714285721</v>
      </c>
      <c r="AB14">
        <f>'Employee Availability'!AB7 * IF('Employee Preference'!AB7&gt;0,1+'Employee Preference'!$BI7,1-'Employee Preference'!$BJ7)</f>
        <v>0.35714285714285721</v>
      </c>
      <c r="AC14">
        <f>'Employee Availability'!AC7 * IF('Employee Preference'!AC7&gt;0,1+'Employee Preference'!$BI7,1-'Employee Preference'!$BJ7)</f>
        <v>0</v>
      </c>
      <c r="AD14">
        <f>'Employee Availability'!AD7 * IF('Employee Preference'!AD7&gt;0,1+'Employee Preference'!$BI7,1-'Employee Preference'!$BJ7)</f>
        <v>0</v>
      </c>
      <c r="AE14">
        <f>'Employee Availability'!AE7 * IF('Employee Preference'!AE7&gt;0,1+'Employee Preference'!$BI7,1-'Employee Preference'!$BJ7)</f>
        <v>1.3571428571428572</v>
      </c>
      <c r="AF14">
        <f>'Employee Availability'!AF7 * IF('Employee Preference'!AF7&gt;0,1+'Employee Preference'!$BI7,1-'Employee Preference'!$BJ7)</f>
        <v>1.3571428571428572</v>
      </c>
      <c r="AG14">
        <f>'Employee Availability'!AG7 * IF('Employee Preference'!AG7&gt;0,1+'Employee Preference'!$BI7,1-'Employee Preference'!$BJ7)</f>
        <v>1.3571428571428572</v>
      </c>
      <c r="AH14">
        <f>'Employee Availability'!AH7 * IF('Employee Preference'!AH7&gt;0,1+'Employee Preference'!$BI7,1-'Employee Preference'!$BJ7)</f>
        <v>0.35714285714285721</v>
      </c>
      <c r="AI14">
        <f>'Employee Availability'!AI7 * IF('Employee Preference'!AI7&gt;0,1+'Employee Preference'!$BI7,1-'Employee Preference'!$BJ7)</f>
        <v>1.3571428571428572</v>
      </c>
      <c r="AJ14">
        <f>'Employee Availability'!AJ7 * IF('Employee Preference'!AJ7&gt;0,1+'Employee Preference'!$BI7,1-'Employee Preference'!$BJ7)</f>
        <v>1.3571428571428572</v>
      </c>
      <c r="AK14">
        <f>'Employee Availability'!AK7 * IF('Employee Preference'!AK7&gt;0,1+'Employee Preference'!$BI7,1-'Employee Preference'!$BJ7)</f>
        <v>0</v>
      </c>
      <c r="AL14">
        <f>'Employee Availability'!AL7 * IF('Employee Preference'!AL7&gt;0,1+'Employee Preference'!$BI7,1-'Employee Preference'!$BJ7)</f>
        <v>0</v>
      </c>
      <c r="AM14">
        <f>'Employee Availability'!AM7 * IF('Employee Preference'!AM7&gt;0,1+'Employee Preference'!$BI7,1-'Employee Preference'!$BJ7)</f>
        <v>0.35714285714285721</v>
      </c>
      <c r="AN14">
        <f>'Employee Availability'!AN7 * IF('Employee Preference'!AN7&gt;0,1+'Employee Preference'!$BI7,1-'Employee Preference'!$BJ7)</f>
        <v>1.3571428571428572</v>
      </c>
      <c r="AO14">
        <f>'Employee Availability'!AO7 * IF('Employee Preference'!AO7&gt;0,1+'Employee Preference'!$BI7,1-'Employee Preference'!$BJ7)</f>
        <v>1.3571428571428572</v>
      </c>
      <c r="AP14">
        <f>'Employee Availability'!AP7 * IF('Employee Preference'!AP7&gt;0,1+'Employee Preference'!$BI7,1-'Employee Preference'!$BJ7)</f>
        <v>1.3571428571428572</v>
      </c>
      <c r="AQ14">
        <f>'Employee Availability'!AQ7 * IF('Employee Preference'!AQ7&gt;0,1+'Employee Preference'!$BI7,1-'Employee Preference'!$BJ7)</f>
        <v>1.3571428571428572</v>
      </c>
      <c r="AR14">
        <f>'Employee Availability'!AR7 * IF('Employee Preference'!AR7&gt;0,1+'Employee Preference'!$BI7,1-'Employee Preference'!$BJ7)</f>
        <v>1.3571428571428572</v>
      </c>
      <c r="AS14">
        <f>'Employee Availability'!AS7 * IF('Employee Preference'!AS7&gt;0,1+'Employee Preference'!$BI7,1-'Employee Preference'!$BJ7)</f>
        <v>0</v>
      </c>
      <c r="AT14">
        <f>'Employee Availability'!AT7 * IF('Employee Preference'!AT7&gt;0,1+'Employee Preference'!$BI7,1-'Employee Preference'!$BJ7)</f>
        <v>0</v>
      </c>
      <c r="AU14">
        <f>'Employee Availability'!AU7 * IF('Employee Preference'!AU7&gt;0,1+'Employee Preference'!$BI7,1-'Employee Preference'!$BJ7)</f>
        <v>1.3571428571428572</v>
      </c>
      <c r="AV14">
        <f>'Employee Availability'!AV7 * IF('Employee Preference'!AV7&gt;0,1+'Employee Preference'!$BI7,1-'Employee Preference'!$BJ7)</f>
        <v>1.3571428571428572</v>
      </c>
      <c r="AW14">
        <f>'Employee Availability'!AW7 * IF('Employee Preference'!AW7&gt;0,1+'Employee Preference'!$BI7,1-'Employee Preference'!$BJ7)</f>
        <v>0.35714285714285721</v>
      </c>
      <c r="AX14">
        <f>'Employee Availability'!AX7 * IF('Employee Preference'!AX7&gt;0,1+'Employee Preference'!$BI7,1-'Employee Preference'!$BJ7)</f>
        <v>1.3571428571428572</v>
      </c>
      <c r="AY14">
        <f>'Employee Availability'!AY7 * IF('Employee Preference'!AY7&gt;0,1+'Employee Preference'!$BI7,1-'Employee Preference'!$BJ7)</f>
        <v>0.35714285714285721</v>
      </c>
      <c r="AZ14">
        <f>'Employee Availability'!AZ7 * IF('Employee Preference'!AZ7&gt;0,1+'Employee Preference'!$BI7,1-'Employee Preference'!$BJ7)</f>
        <v>0.35714285714285721</v>
      </c>
      <c r="BA14">
        <f>'Employee Availability'!BA7 * IF('Employee Preference'!BA7&gt;0,1+'Employee Preference'!$BI7,1-'Employee Preference'!$BJ7)</f>
        <v>0</v>
      </c>
      <c r="BB14">
        <f>'Employee Availability'!BB7 * IF('Employee Preference'!BB7&gt;0,1+'Employee Preference'!$BI7,1-'Employee Preference'!$BJ7)</f>
        <v>0</v>
      </c>
      <c r="BC14">
        <f>'Employee Availability'!BC7 * IF('Employee Preference'!BC7&gt;0,1+'Employee Preference'!$BI7,1-'Employee Preference'!$BJ7)</f>
        <v>1.3571428571428572</v>
      </c>
      <c r="BD14">
        <f>'Employee Availability'!BD7 * IF('Employee Preference'!BD7&gt;0,1+'Employee Preference'!$BI7,1-'Employee Preference'!$BJ7)</f>
        <v>1.3571428571428572</v>
      </c>
      <c r="BE14">
        <f>'Employee Availability'!BE7 * IF('Employee Preference'!BE7&gt;0,1+'Employee Preference'!$BI7,1-'Employee Preference'!$BJ7)</f>
        <v>0.35714285714285721</v>
      </c>
      <c r="BF14">
        <f>'Employee Availability'!BF7 * IF('Employee Preference'!BF7&gt;0,1+'Employee Preference'!$BI7,1-'Employee Preference'!$BJ7)</f>
        <v>1.3571428571428572</v>
      </c>
    </row>
    <row r="15" spans="1:61" x14ac:dyDescent="0.25">
      <c r="B15" s="4">
        <v>4</v>
      </c>
      <c r="C15">
        <f>'Employee Availability'!C8 * IF('Employee Preference'!C8&gt;0,1+'Employee Preference'!$BI8,1-'Employee Preference'!$BJ8)</f>
        <v>1.4523809523809523</v>
      </c>
      <c r="D15">
        <f>'Employee Availability'!D8 * IF('Employee Preference'!D8&gt;0,1+'Employee Preference'!$BI8,1-'Employee Preference'!$BJ8)</f>
        <v>0.45238095238095233</v>
      </c>
      <c r="E15">
        <f>'Employee Availability'!E8 * IF('Employee Preference'!E8&gt;0,1+'Employee Preference'!$BI8,1-'Employee Preference'!$BJ8)</f>
        <v>0</v>
      </c>
      <c r="F15">
        <f>'Employee Availability'!F8 * IF('Employee Preference'!F8&gt;0,1+'Employee Preference'!$BI8,1-'Employee Preference'!$BJ8)</f>
        <v>0</v>
      </c>
      <c r="G15">
        <f>'Employee Availability'!G8 * IF('Employee Preference'!G8&gt;0,1+'Employee Preference'!$BI8,1-'Employee Preference'!$BJ8)</f>
        <v>1.4523809523809523</v>
      </c>
      <c r="H15">
        <f>'Employee Availability'!H8 * IF('Employee Preference'!H8&gt;0,1+'Employee Preference'!$BI8,1-'Employee Preference'!$BJ8)</f>
        <v>0.45238095238095233</v>
      </c>
      <c r="I15">
        <f>'Employee Availability'!I8 * IF('Employee Preference'!I8&gt;0,1+'Employee Preference'!$BI8,1-'Employee Preference'!$BJ8)</f>
        <v>0.45238095238095233</v>
      </c>
      <c r="J15">
        <f>'Employee Availability'!J8 * IF('Employee Preference'!J8&gt;0,1+'Employee Preference'!$BI8,1-'Employee Preference'!$BJ8)</f>
        <v>0.45238095238095233</v>
      </c>
      <c r="K15">
        <f>'Employee Availability'!K8 * IF('Employee Preference'!K8&gt;0,1+'Employee Preference'!$BI8,1-'Employee Preference'!$BJ8)</f>
        <v>0.45238095238095233</v>
      </c>
      <c r="L15">
        <f>'Employee Availability'!L8 * IF('Employee Preference'!L8&gt;0,1+'Employee Preference'!$BI8,1-'Employee Preference'!$BJ8)</f>
        <v>1.4523809523809523</v>
      </c>
      <c r="M15">
        <f>'Employee Availability'!M8 * IF('Employee Preference'!M8&gt;0,1+'Employee Preference'!$BI8,1-'Employee Preference'!$BJ8)</f>
        <v>0</v>
      </c>
      <c r="N15">
        <f>'Employee Availability'!N8 * IF('Employee Preference'!N8&gt;0,1+'Employee Preference'!$BI8,1-'Employee Preference'!$BJ8)</f>
        <v>0</v>
      </c>
      <c r="O15">
        <f>'Employee Availability'!O8 * IF('Employee Preference'!O8&gt;0,1+'Employee Preference'!$BI8,1-'Employee Preference'!$BJ8)</f>
        <v>1.4523809523809523</v>
      </c>
      <c r="P15">
        <f>'Employee Availability'!P8 * IF('Employee Preference'!P8&gt;0,1+'Employee Preference'!$BI8,1-'Employee Preference'!$BJ8)</f>
        <v>0.45238095238095233</v>
      </c>
      <c r="Q15">
        <f>'Employee Availability'!Q8 * IF('Employee Preference'!Q8&gt;0,1+'Employee Preference'!$BI8,1-'Employee Preference'!$BJ8)</f>
        <v>1.4523809523809523</v>
      </c>
      <c r="R15">
        <f>'Employee Availability'!R8 * IF('Employee Preference'!R8&gt;0,1+'Employee Preference'!$BI8,1-'Employee Preference'!$BJ8)</f>
        <v>0.45238095238095233</v>
      </c>
      <c r="S15">
        <f>'Employee Availability'!S8 * IF('Employee Preference'!S8&gt;0,1+'Employee Preference'!$BI8,1-'Employee Preference'!$BJ8)</f>
        <v>0.45238095238095233</v>
      </c>
      <c r="T15">
        <f>'Employee Availability'!T8 * IF('Employee Preference'!T8&gt;0,1+'Employee Preference'!$BI8,1-'Employee Preference'!$BJ8)</f>
        <v>1.4523809523809523</v>
      </c>
      <c r="U15">
        <f>'Employee Availability'!U8 * IF('Employee Preference'!U8&gt;0,1+'Employee Preference'!$BI8,1-'Employee Preference'!$BJ8)</f>
        <v>0</v>
      </c>
      <c r="V15">
        <f>'Employee Availability'!V8 * IF('Employee Preference'!V8&gt;0,1+'Employee Preference'!$BI8,1-'Employee Preference'!$BJ8)</f>
        <v>0</v>
      </c>
      <c r="W15">
        <f>'Employee Availability'!W8 * IF('Employee Preference'!W8&gt;0,1+'Employee Preference'!$BI8,1-'Employee Preference'!$BJ8)</f>
        <v>0.45238095238095233</v>
      </c>
      <c r="X15">
        <f>'Employee Availability'!X8 * IF('Employee Preference'!X8&gt;0,1+'Employee Preference'!$BI8,1-'Employee Preference'!$BJ8)</f>
        <v>1.4523809523809523</v>
      </c>
      <c r="Y15">
        <f>'Employee Availability'!Y8 * IF('Employee Preference'!Y8&gt;0,1+'Employee Preference'!$BI8,1-'Employee Preference'!$BJ8)</f>
        <v>1.4523809523809523</v>
      </c>
      <c r="Z15">
        <f>'Employee Availability'!Z8 * IF('Employee Preference'!Z8&gt;0,1+'Employee Preference'!$BI8,1-'Employee Preference'!$BJ8)</f>
        <v>1.4523809523809523</v>
      </c>
      <c r="AA15">
        <f>'Employee Availability'!AA8 * IF('Employee Preference'!AA8&gt;0,1+'Employee Preference'!$BI8,1-'Employee Preference'!$BJ8)</f>
        <v>1.4523809523809523</v>
      </c>
      <c r="AB15">
        <f>'Employee Availability'!AB8 * IF('Employee Preference'!AB8&gt;0,1+'Employee Preference'!$BI8,1-'Employee Preference'!$BJ8)</f>
        <v>0.45238095238095233</v>
      </c>
      <c r="AC15">
        <f>'Employee Availability'!AC8 * IF('Employee Preference'!AC8&gt;0,1+'Employee Preference'!$BI8,1-'Employee Preference'!$BJ8)</f>
        <v>0</v>
      </c>
      <c r="AD15">
        <f>'Employee Availability'!AD8 * IF('Employee Preference'!AD8&gt;0,1+'Employee Preference'!$BI8,1-'Employee Preference'!$BJ8)</f>
        <v>0</v>
      </c>
      <c r="AE15">
        <f>'Employee Availability'!AE8 * IF('Employee Preference'!AE8&gt;0,1+'Employee Preference'!$BI8,1-'Employee Preference'!$BJ8)</f>
        <v>0.45238095238095233</v>
      </c>
      <c r="AF15">
        <f>'Employee Availability'!AF8 * IF('Employee Preference'!AF8&gt;0,1+'Employee Preference'!$BI8,1-'Employee Preference'!$BJ8)</f>
        <v>1.4523809523809523</v>
      </c>
      <c r="AG15">
        <f>'Employee Availability'!AG8 * IF('Employee Preference'!AG8&gt;0,1+'Employee Preference'!$BI8,1-'Employee Preference'!$BJ8)</f>
        <v>1.4523809523809523</v>
      </c>
      <c r="AH15">
        <f>'Employee Availability'!AH8 * IF('Employee Preference'!AH8&gt;0,1+'Employee Preference'!$BI8,1-'Employee Preference'!$BJ8)</f>
        <v>1.4523809523809523</v>
      </c>
      <c r="AI15">
        <f>'Employee Availability'!AI8 * IF('Employee Preference'!AI8&gt;0,1+'Employee Preference'!$BI8,1-'Employee Preference'!$BJ8)</f>
        <v>0.45238095238095233</v>
      </c>
      <c r="AJ15">
        <f>'Employee Availability'!AJ8 * IF('Employee Preference'!AJ8&gt;0,1+'Employee Preference'!$BI8,1-'Employee Preference'!$BJ8)</f>
        <v>0.45238095238095233</v>
      </c>
      <c r="AK15">
        <f>'Employee Availability'!AK8 * IF('Employee Preference'!AK8&gt;0,1+'Employee Preference'!$BI8,1-'Employee Preference'!$BJ8)</f>
        <v>0</v>
      </c>
      <c r="AL15">
        <f>'Employee Availability'!AL8 * IF('Employee Preference'!AL8&gt;0,1+'Employee Preference'!$BI8,1-'Employee Preference'!$BJ8)</f>
        <v>0</v>
      </c>
      <c r="AM15">
        <f>'Employee Availability'!AM8 * IF('Employee Preference'!AM8&gt;0,1+'Employee Preference'!$BI8,1-'Employee Preference'!$BJ8)</f>
        <v>1.4523809523809523</v>
      </c>
      <c r="AN15">
        <f>'Employee Availability'!AN8 * IF('Employee Preference'!AN8&gt;0,1+'Employee Preference'!$BI8,1-'Employee Preference'!$BJ8)</f>
        <v>0.45238095238095233</v>
      </c>
      <c r="AO15">
        <f>'Employee Availability'!AO8 * IF('Employee Preference'!AO8&gt;0,1+'Employee Preference'!$BI8,1-'Employee Preference'!$BJ8)</f>
        <v>1.4523809523809523</v>
      </c>
      <c r="AP15">
        <f>'Employee Availability'!AP8 * IF('Employee Preference'!AP8&gt;0,1+'Employee Preference'!$BI8,1-'Employee Preference'!$BJ8)</f>
        <v>0.45238095238095233</v>
      </c>
      <c r="AQ15">
        <f>'Employee Availability'!AQ8 * IF('Employee Preference'!AQ8&gt;0,1+'Employee Preference'!$BI8,1-'Employee Preference'!$BJ8)</f>
        <v>0.45238095238095233</v>
      </c>
      <c r="AR15">
        <f>'Employee Availability'!AR8 * IF('Employee Preference'!AR8&gt;0,1+'Employee Preference'!$BI8,1-'Employee Preference'!$BJ8)</f>
        <v>0.45238095238095233</v>
      </c>
      <c r="AS15">
        <f>'Employee Availability'!AS8 * IF('Employee Preference'!AS8&gt;0,1+'Employee Preference'!$BI8,1-'Employee Preference'!$BJ8)</f>
        <v>0</v>
      </c>
      <c r="AT15">
        <f>'Employee Availability'!AT8 * IF('Employee Preference'!AT8&gt;0,1+'Employee Preference'!$BI8,1-'Employee Preference'!$BJ8)</f>
        <v>0</v>
      </c>
      <c r="AU15">
        <f>'Employee Availability'!AU8 * IF('Employee Preference'!AU8&gt;0,1+'Employee Preference'!$BI8,1-'Employee Preference'!$BJ8)</f>
        <v>1.4523809523809523</v>
      </c>
      <c r="AV15">
        <f>'Employee Availability'!AV8 * IF('Employee Preference'!AV8&gt;0,1+'Employee Preference'!$BI8,1-'Employee Preference'!$BJ8)</f>
        <v>1.4523809523809523</v>
      </c>
      <c r="AW15">
        <f>'Employee Availability'!AW8 * IF('Employee Preference'!AW8&gt;0,1+'Employee Preference'!$BI8,1-'Employee Preference'!$BJ8)</f>
        <v>1.4523809523809523</v>
      </c>
      <c r="AX15">
        <f>'Employee Availability'!AX8 * IF('Employee Preference'!AX8&gt;0,1+'Employee Preference'!$BI8,1-'Employee Preference'!$BJ8)</f>
        <v>0.45238095238095233</v>
      </c>
      <c r="AY15">
        <f>'Employee Availability'!AY8 * IF('Employee Preference'!AY8&gt;0,1+'Employee Preference'!$BI8,1-'Employee Preference'!$BJ8)</f>
        <v>1.4523809523809523</v>
      </c>
      <c r="AZ15">
        <f>'Employee Availability'!AZ8 * IF('Employee Preference'!AZ8&gt;0,1+'Employee Preference'!$BI8,1-'Employee Preference'!$BJ8)</f>
        <v>1.4523809523809523</v>
      </c>
      <c r="BA15">
        <f>'Employee Availability'!BA8 * IF('Employee Preference'!BA8&gt;0,1+'Employee Preference'!$BI8,1-'Employee Preference'!$BJ8)</f>
        <v>0</v>
      </c>
      <c r="BB15">
        <f>'Employee Availability'!BB8 * IF('Employee Preference'!BB8&gt;0,1+'Employee Preference'!$BI8,1-'Employee Preference'!$BJ8)</f>
        <v>0</v>
      </c>
      <c r="BC15">
        <f>'Employee Availability'!BC8 * IF('Employee Preference'!BC8&gt;0,1+'Employee Preference'!$BI8,1-'Employee Preference'!$BJ8)</f>
        <v>1.4523809523809523</v>
      </c>
      <c r="BD15">
        <f>'Employee Availability'!BD8 * IF('Employee Preference'!BD8&gt;0,1+'Employee Preference'!$BI8,1-'Employee Preference'!$BJ8)</f>
        <v>1.4523809523809523</v>
      </c>
      <c r="BE15">
        <f>'Employee Availability'!BE8 * IF('Employee Preference'!BE8&gt;0,1+'Employee Preference'!$BI8,1-'Employee Preference'!$BJ8)</f>
        <v>1.4523809523809523</v>
      </c>
      <c r="BF15">
        <f>'Employee Availability'!BF8 * IF('Employee Preference'!BF8&gt;0,1+'Employee Preference'!$BI8,1-'Employee Preference'!$BJ8)</f>
        <v>0.45238095238095233</v>
      </c>
    </row>
    <row r="16" spans="1:61" x14ac:dyDescent="0.25"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</row>
    <row r="17" spans="1:58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</row>
    <row r="18" spans="1:58" x14ac:dyDescent="0.25">
      <c r="A18" s="17" t="s">
        <v>23</v>
      </c>
      <c r="B18" s="4">
        <v>1</v>
      </c>
      <c r="C18" s="5">
        <f>C6+SUM(P6:T6)</f>
        <v>1</v>
      </c>
      <c r="D18" s="5">
        <f>SUM(Q6:T6)+SUM(C6:D6)</f>
        <v>2</v>
      </c>
      <c r="E18" s="5">
        <f>SUM(R6:T6)+SUM(C6:E6)</f>
        <v>1</v>
      </c>
      <c r="F18" s="5">
        <f>SUM(C6:E6)+F6+T6+S6</f>
        <v>1</v>
      </c>
      <c r="G18" s="5">
        <f>SUM(C6:G6)+T6</f>
        <v>2</v>
      </c>
      <c r="H18" s="5">
        <f>SUM(C6:H6)</f>
        <v>3</v>
      </c>
      <c r="I18" s="5">
        <f t="shared" ref="I18:T18" si="39">SUM(D6:I6)</f>
        <v>3</v>
      </c>
      <c r="J18" s="5">
        <f t="shared" si="39"/>
        <v>2</v>
      </c>
      <c r="K18" s="5">
        <f t="shared" si="39"/>
        <v>3</v>
      </c>
      <c r="L18" s="5">
        <f t="shared" si="39"/>
        <v>3</v>
      </c>
      <c r="M18" s="5">
        <f t="shared" si="39"/>
        <v>2</v>
      </c>
      <c r="N18" s="5">
        <f t="shared" si="39"/>
        <v>1</v>
      </c>
      <c r="O18" s="5">
        <f t="shared" si="39"/>
        <v>1</v>
      </c>
      <c r="P18" s="5">
        <f t="shared" si="39"/>
        <v>1</v>
      </c>
      <c r="Q18" s="5">
        <f t="shared" si="39"/>
        <v>1</v>
      </c>
      <c r="R18" s="5">
        <f t="shared" si="39"/>
        <v>1</v>
      </c>
      <c r="S18" s="5">
        <f t="shared" si="39"/>
        <v>1</v>
      </c>
      <c r="T18" s="5">
        <f t="shared" si="39"/>
        <v>1</v>
      </c>
      <c r="U18" s="5">
        <f t="shared" ref="U18" si="40">SUM(P6:U6)</f>
        <v>1</v>
      </c>
      <c r="V18" s="5">
        <f t="shared" ref="V18" si="41">SUM(Q6:V6)</f>
        <v>1</v>
      </c>
      <c r="W18" s="5">
        <f t="shared" ref="W18" si="42">SUM(R6:W6)</f>
        <v>0</v>
      </c>
      <c r="X18" s="5">
        <f t="shared" ref="X18" si="43">SUM(S6:X6)</f>
        <v>1</v>
      </c>
      <c r="Y18" s="5">
        <f t="shared" ref="Y18" si="44">SUM(T6:Y6)</f>
        <v>2</v>
      </c>
      <c r="Z18" s="5">
        <f t="shared" ref="Z18" si="45">SUM(U6:Z6)</f>
        <v>3</v>
      </c>
      <c r="AA18" s="5">
        <f t="shared" ref="AA18" si="46">SUM(V6:AA6)</f>
        <v>3</v>
      </c>
      <c r="AB18" s="5">
        <f t="shared" ref="AB18" si="47">SUM(W6:AB6)</f>
        <v>3</v>
      </c>
      <c r="AC18" s="5">
        <f t="shared" ref="AC18" si="48">SUM(X6:AC6)</f>
        <v>3</v>
      </c>
      <c r="AD18" s="5">
        <f t="shared" ref="AD18" si="49">SUM(Y6:AD6)</f>
        <v>2</v>
      </c>
      <c r="AE18" s="5">
        <f t="shared" ref="AE18" si="50">SUM(Z6:AE6)</f>
        <v>2</v>
      </c>
      <c r="AF18" s="5">
        <f t="shared" ref="AF18" si="51">SUM(AA6:AF6)</f>
        <v>2</v>
      </c>
      <c r="AG18" s="5">
        <f t="shared" ref="AG18" si="52">SUM(AB6:AG6)</f>
        <v>2</v>
      </c>
      <c r="AH18" s="5">
        <f t="shared" ref="AH18" si="53">SUM(AC6:AH6)</f>
        <v>2</v>
      </c>
      <c r="AI18" s="5">
        <f t="shared" ref="AI18" si="54">SUM(AD6:AI6)</f>
        <v>3</v>
      </c>
      <c r="AJ18" s="5">
        <f t="shared" ref="AJ18" si="55">SUM(AE6:AJ6)</f>
        <v>3</v>
      </c>
      <c r="AK18" s="5">
        <f t="shared" ref="AK18" si="56">SUM(AF6:AK6)</f>
        <v>2</v>
      </c>
      <c r="AL18" s="5">
        <f t="shared" ref="AL18" si="57">SUM(AG6:AL6)</f>
        <v>1</v>
      </c>
      <c r="AM18" s="5">
        <f t="shared" ref="AM18" si="58">SUM(AH6:AM6)</f>
        <v>1</v>
      </c>
      <c r="AN18" s="5">
        <f t="shared" ref="AN18" si="59">SUM(AI6:AN6)</f>
        <v>1</v>
      </c>
      <c r="AO18" s="5">
        <f t="shared" ref="AO18" si="60">SUM(AJ6:AO6)</f>
        <v>1</v>
      </c>
      <c r="AP18" s="5">
        <f t="shared" ref="AP18" si="61">SUM(AK6:AP6)</f>
        <v>2</v>
      </c>
      <c r="AQ18" s="5">
        <f t="shared" ref="AQ18" si="62">SUM(AL6:AQ6)</f>
        <v>2</v>
      </c>
      <c r="AR18" s="5">
        <f t="shared" ref="AR18" si="63">SUM(AM6:AR6)</f>
        <v>3</v>
      </c>
      <c r="AS18" s="5">
        <f t="shared" ref="AS18" si="64">SUM(AN6:AS6)</f>
        <v>3</v>
      </c>
      <c r="AT18" s="5">
        <f t="shared" ref="AT18" si="65">SUM(AO6:AT6)</f>
        <v>3</v>
      </c>
      <c r="AU18" s="5">
        <f t="shared" ref="AU18" si="66">SUM(AP6:AU6)</f>
        <v>3</v>
      </c>
      <c r="AV18" s="5">
        <f t="shared" ref="AV18" si="67">SUM(AQ6:AV6)</f>
        <v>2</v>
      </c>
      <c r="AW18" s="5">
        <f t="shared" ref="AW18" si="68">SUM(AR6:AW6)</f>
        <v>3</v>
      </c>
      <c r="AX18" s="5">
        <f t="shared" ref="AX18" si="69">SUM(AS6:AX6)</f>
        <v>3</v>
      </c>
      <c r="AY18" s="5">
        <f t="shared" ref="AY18" si="70">SUM(AT6:AY6)</f>
        <v>3</v>
      </c>
      <c r="AZ18" s="5">
        <f t="shared" ref="AZ18" si="71">SUM(AU6:AZ6)</f>
        <v>3</v>
      </c>
      <c r="BA18" s="5">
        <f t="shared" ref="BA18" si="72">SUM(AV6:BA6)</f>
        <v>2</v>
      </c>
      <c r="BB18" s="5">
        <f t="shared" ref="BB18" si="73">SUM(AW6:BB6)</f>
        <v>2</v>
      </c>
      <c r="BC18" s="5">
        <f t="shared" ref="BC18" si="74">SUM(AX6:BC6)</f>
        <v>1</v>
      </c>
      <c r="BD18" s="5">
        <f t="shared" ref="BD18" si="75">SUM(AY6:BD6)</f>
        <v>0</v>
      </c>
      <c r="BE18" s="5">
        <f t="shared" ref="BE18" si="76">SUM(AZ6:BE6)</f>
        <v>0</v>
      </c>
      <c r="BF18" s="5">
        <f t="shared" ref="BF18" si="77">SUM(BA6:BF6)</f>
        <v>0</v>
      </c>
    </row>
    <row r="19" spans="1:58" x14ac:dyDescent="0.25">
      <c r="A19" s="17"/>
      <c r="B19" s="4">
        <v>2</v>
      </c>
      <c r="C19" s="5">
        <f t="shared" ref="C19:C21" si="78">C7+SUM(P7:T7)</f>
        <v>3</v>
      </c>
      <c r="D19" s="5">
        <f t="shared" ref="D19:D21" si="79">SUM(Q7:T7)+SUM(C7:D7)</f>
        <v>3</v>
      </c>
      <c r="E19" s="5">
        <f t="shared" ref="E19:E21" si="80">SUM(R7:T7)+SUM(C7:E7)</f>
        <v>2</v>
      </c>
      <c r="F19" s="5">
        <f t="shared" ref="F19:F21" si="81">SUM(C7:E7)+F7+T7+S7</f>
        <v>1</v>
      </c>
      <c r="G19" s="5">
        <f t="shared" ref="G19:G21" si="82">SUM(C7:G7)+T7</f>
        <v>2</v>
      </c>
      <c r="H19" s="5">
        <f t="shared" ref="H19:H21" si="83">SUM(C7:H7)</f>
        <v>2</v>
      </c>
      <c r="I19" s="5">
        <f t="shared" ref="I19:I21" si="84">SUM(D7:I7)</f>
        <v>2</v>
      </c>
      <c r="J19" s="5">
        <f t="shared" ref="J19:J21" si="85">SUM(E7:J7)</f>
        <v>3</v>
      </c>
      <c r="K19" s="5">
        <f t="shared" ref="K19:K21" si="86">SUM(F7:K7)</f>
        <v>3</v>
      </c>
      <c r="L19" s="5">
        <f t="shared" ref="L19:L21" si="87">SUM(G7:L7)</f>
        <v>3</v>
      </c>
      <c r="M19" s="5">
        <f t="shared" ref="M19:M21" si="88">SUM(H7:M7)</f>
        <v>2</v>
      </c>
      <c r="N19" s="5">
        <f t="shared" ref="N19:N21" si="89">SUM(I7:N7)</f>
        <v>2</v>
      </c>
      <c r="O19" s="5">
        <f t="shared" ref="O19:O21" si="90">SUM(J7:O7)</f>
        <v>1</v>
      </c>
      <c r="P19" s="5">
        <f t="shared" ref="P19:P21" si="91">SUM(K7:P7)</f>
        <v>0</v>
      </c>
      <c r="Q19" s="5">
        <f t="shared" ref="Q19:Q21" si="92">SUM(L7:Q7)</f>
        <v>1</v>
      </c>
      <c r="R19" s="5">
        <f t="shared" ref="R19:R21" si="93">SUM(M7:R7)</f>
        <v>2</v>
      </c>
      <c r="S19" s="5">
        <f t="shared" ref="S19:S21" si="94">SUM(N7:S7)</f>
        <v>2</v>
      </c>
      <c r="T19" s="5">
        <f t="shared" ref="T19:T21" si="95">SUM(O7:T7)</f>
        <v>2</v>
      </c>
      <c r="U19" s="5">
        <f t="shared" ref="U19:U21" si="96">SUM(P7:U7)</f>
        <v>2</v>
      </c>
      <c r="V19" s="5">
        <f t="shared" ref="V19:V21" si="97">SUM(Q7:V7)</f>
        <v>2</v>
      </c>
      <c r="W19" s="5">
        <f t="shared" ref="W19:W21" si="98">SUM(R7:W7)</f>
        <v>2</v>
      </c>
      <c r="X19" s="5">
        <f t="shared" ref="X19:X21" si="99">SUM(S7:X7)</f>
        <v>1</v>
      </c>
      <c r="Y19" s="5">
        <f t="shared" ref="Y19:Y21" si="100">SUM(T7:Y7)</f>
        <v>2</v>
      </c>
      <c r="Z19" s="5">
        <f t="shared" ref="Z19:Z21" si="101">SUM(U7:Z7)</f>
        <v>2</v>
      </c>
      <c r="AA19" s="5">
        <f t="shared" ref="AA19:AA21" si="102">SUM(V7:AA7)</f>
        <v>3</v>
      </c>
      <c r="AB19" s="5">
        <f t="shared" ref="AB19:AB21" si="103">SUM(W7:AB7)</f>
        <v>3</v>
      </c>
      <c r="AC19" s="5">
        <f t="shared" ref="AC19:AC21" si="104">SUM(X7:AC7)</f>
        <v>2</v>
      </c>
      <c r="AD19" s="5">
        <f t="shared" ref="AD19:AD21" si="105">SUM(Y7:AD7)</f>
        <v>2</v>
      </c>
      <c r="AE19" s="5">
        <f t="shared" ref="AE19:AE21" si="106">SUM(Z7:AE7)</f>
        <v>1</v>
      </c>
      <c r="AF19" s="5">
        <f t="shared" ref="AF19:AF21" si="107">SUM(AA7:AF7)</f>
        <v>1</v>
      </c>
      <c r="AG19" s="5">
        <f t="shared" ref="AG19:AG21" si="108">SUM(AB7:AG7)</f>
        <v>1</v>
      </c>
      <c r="AH19" s="5">
        <f t="shared" ref="AH19:AH21" si="109">SUM(AC7:AH7)</f>
        <v>1</v>
      </c>
      <c r="AI19" s="5">
        <f t="shared" ref="AI19:AI21" si="110">SUM(AD7:AI7)</f>
        <v>1</v>
      </c>
      <c r="AJ19" s="5">
        <f t="shared" ref="AJ19:AJ21" si="111">SUM(AE7:AJ7)</f>
        <v>2</v>
      </c>
      <c r="AK19" s="5">
        <f t="shared" ref="AK19:AK21" si="112">SUM(AF7:AK7)</f>
        <v>2</v>
      </c>
      <c r="AL19" s="5">
        <f t="shared" ref="AL19:AL21" si="113">SUM(AG7:AL7)</f>
        <v>2</v>
      </c>
      <c r="AM19" s="5">
        <f t="shared" ref="AM19:AM21" si="114">SUM(AH7:AM7)</f>
        <v>2</v>
      </c>
      <c r="AN19" s="5">
        <f t="shared" ref="AN19:AN21" si="115">SUM(AI7:AN7)</f>
        <v>3</v>
      </c>
      <c r="AO19" s="5">
        <f t="shared" ref="AO19:AO21" si="116">SUM(AJ7:AO7)</f>
        <v>3</v>
      </c>
      <c r="AP19" s="5">
        <f t="shared" ref="AP19:AP21" si="117">SUM(AK7:AP7)</f>
        <v>3</v>
      </c>
      <c r="AQ19" s="5">
        <f t="shared" ref="AQ19:AQ21" si="118">SUM(AL7:AQ7)</f>
        <v>3</v>
      </c>
      <c r="AR19" s="5">
        <f t="shared" ref="AR19:AR21" si="119">SUM(AM7:AR7)</f>
        <v>3</v>
      </c>
      <c r="AS19" s="5">
        <f t="shared" ref="AS19:AS21" si="120">SUM(AN7:AS7)</f>
        <v>2</v>
      </c>
      <c r="AT19" s="5">
        <f t="shared" ref="AT19:AT21" si="121">SUM(AO7:AT7)</f>
        <v>1</v>
      </c>
      <c r="AU19" s="5">
        <f t="shared" ref="AU19:AU21" si="122">SUM(AP7:AU7)</f>
        <v>1</v>
      </c>
      <c r="AV19" s="5">
        <f t="shared" ref="AV19:AV21" si="123">SUM(AQ7:AV7)</f>
        <v>1</v>
      </c>
      <c r="AW19" s="5">
        <f t="shared" ref="AW19:AW21" si="124">SUM(AR7:AW7)</f>
        <v>2</v>
      </c>
      <c r="AX19" s="5">
        <f t="shared" ref="AX19:AX21" si="125">SUM(AS7:AX7)</f>
        <v>3</v>
      </c>
      <c r="AY19" s="5">
        <f t="shared" ref="AY19:AY21" si="126">SUM(AT7:AY7)</f>
        <v>3</v>
      </c>
      <c r="AZ19" s="5">
        <f t="shared" ref="AZ19:AZ21" si="127">SUM(AU7:AZ7)</f>
        <v>3</v>
      </c>
      <c r="BA19" s="5">
        <f t="shared" ref="BA19:BA21" si="128">SUM(AV7:BA7)</f>
        <v>3</v>
      </c>
      <c r="BB19" s="5">
        <f t="shared" ref="BB19:BB21" si="129">SUM(AW7:BB7)</f>
        <v>2</v>
      </c>
      <c r="BC19" s="5">
        <f t="shared" ref="BC19:BC21" si="130">SUM(AX7:BC7)</f>
        <v>1</v>
      </c>
      <c r="BD19" s="5">
        <f t="shared" ref="BD19:BD21" si="131">SUM(AY7:BD7)</f>
        <v>0</v>
      </c>
      <c r="BE19" s="5">
        <f t="shared" ref="BE19:BE21" si="132">SUM(AZ7:BE7)</f>
        <v>0</v>
      </c>
      <c r="BF19" s="5">
        <f t="shared" ref="BF19:BF21" si="133">SUM(BA7:BF7)</f>
        <v>0</v>
      </c>
    </row>
    <row r="20" spans="1:58" x14ac:dyDescent="0.25">
      <c r="A20" s="17"/>
      <c r="B20" s="4">
        <v>3</v>
      </c>
      <c r="C20" s="5">
        <f t="shared" si="78"/>
        <v>3</v>
      </c>
      <c r="D20" s="5">
        <f t="shared" si="79"/>
        <v>3</v>
      </c>
      <c r="E20" s="5">
        <f t="shared" si="80"/>
        <v>3</v>
      </c>
      <c r="F20" s="5">
        <f t="shared" si="81"/>
        <v>3</v>
      </c>
      <c r="G20" s="5">
        <f t="shared" si="82"/>
        <v>2</v>
      </c>
      <c r="H20" s="5">
        <f t="shared" si="83"/>
        <v>2</v>
      </c>
      <c r="I20" s="5">
        <f t="shared" si="84"/>
        <v>2</v>
      </c>
      <c r="J20" s="5">
        <f t="shared" si="85"/>
        <v>2</v>
      </c>
      <c r="K20" s="5">
        <f t="shared" si="86"/>
        <v>2</v>
      </c>
      <c r="L20" s="5">
        <f t="shared" si="87"/>
        <v>2</v>
      </c>
      <c r="M20" s="5">
        <f t="shared" si="88"/>
        <v>2</v>
      </c>
      <c r="N20" s="5">
        <f t="shared" si="89"/>
        <v>2</v>
      </c>
      <c r="O20" s="5">
        <f t="shared" si="90"/>
        <v>1</v>
      </c>
      <c r="P20" s="5">
        <f t="shared" si="91"/>
        <v>1</v>
      </c>
      <c r="Q20" s="5">
        <f t="shared" si="92"/>
        <v>1</v>
      </c>
      <c r="R20" s="5">
        <f t="shared" si="93"/>
        <v>1</v>
      </c>
      <c r="S20" s="5">
        <f t="shared" si="94"/>
        <v>2</v>
      </c>
      <c r="T20" s="5">
        <f t="shared" si="95"/>
        <v>2</v>
      </c>
      <c r="U20" s="5">
        <f t="shared" si="96"/>
        <v>2</v>
      </c>
      <c r="V20" s="5">
        <f t="shared" si="97"/>
        <v>1</v>
      </c>
      <c r="W20" s="5">
        <f t="shared" si="98"/>
        <v>1</v>
      </c>
      <c r="X20" s="5">
        <f t="shared" si="99"/>
        <v>2</v>
      </c>
      <c r="Y20" s="5">
        <f t="shared" si="100"/>
        <v>1</v>
      </c>
      <c r="Z20" s="5">
        <f t="shared" si="101"/>
        <v>1</v>
      </c>
      <c r="AA20" s="5">
        <f t="shared" si="102"/>
        <v>1</v>
      </c>
      <c r="AB20" s="5">
        <f t="shared" si="103"/>
        <v>2</v>
      </c>
      <c r="AC20" s="5">
        <f t="shared" si="104"/>
        <v>2</v>
      </c>
      <c r="AD20" s="5">
        <f t="shared" si="105"/>
        <v>1</v>
      </c>
      <c r="AE20" s="5">
        <f t="shared" si="106"/>
        <v>1</v>
      </c>
      <c r="AF20" s="5">
        <f t="shared" si="107"/>
        <v>2</v>
      </c>
      <c r="AG20" s="5">
        <f t="shared" si="108"/>
        <v>3</v>
      </c>
      <c r="AH20" s="5">
        <f t="shared" si="109"/>
        <v>2</v>
      </c>
      <c r="AI20" s="5">
        <f t="shared" si="110"/>
        <v>2</v>
      </c>
      <c r="AJ20" s="5">
        <f t="shared" si="111"/>
        <v>3</v>
      </c>
      <c r="AK20" s="5">
        <f t="shared" si="112"/>
        <v>3</v>
      </c>
      <c r="AL20" s="5">
        <f t="shared" si="113"/>
        <v>2</v>
      </c>
      <c r="AM20" s="5">
        <f t="shared" si="114"/>
        <v>1</v>
      </c>
      <c r="AN20" s="5">
        <f t="shared" si="115"/>
        <v>1</v>
      </c>
      <c r="AO20" s="5">
        <f t="shared" si="116"/>
        <v>2</v>
      </c>
      <c r="AP20" s="5">
        <f t="shared" si="117"/>
        <v>2</v>
      </c>
      <c r="AQ20" s="5">
        <f t="shared" si="118"/>
        <v>3</v>
      </c>
      <c r="AR20" s="5">
        <f t="shared" si="119"/>
        <v>3</v>
      </c>
      <c r="AS20" s="5">
        <f t="shared" si="120"/>
        <v>3</v>
      </c>
      <c r="AT20" s="5">
        <f t="shared" si="121"/>
        <v>3</v>
      </c>
      <c r="AU20" s="5">
        <f t="shared" si="122"/>
        <v>3</v>
      </c>
      <c r="AV20" s="5">
        <f t="shared" si="123"/>
        <v>3</v>
      </c>
      <c r="AW20" s="5">
        <f t="shared" si="124"/>
        <v>2</v>
      </c>
      <c r="AX20" s="5">
        <f t="shared" si="125"/>
        <v>3</v>
      </c>
      <c r="AY20" s="5">
        <f t="shared" si="126"/>
        <v>3</v>
      </c>
      <c r="AZ20" s="5">
        <f t="shared" si="127"/>
        <v>3</v>
      </c>
      <c r="BA20" s="5">
        <f t="shared" si="128"/>
        <v>2</v>
      </c>
      <c r="BB20" s="5">
        <f t="shared" si="129"/>
        <v>1</v>
      </c>
      <c r="BC20" s="5">
        <f t="shared" si="130"/>
        <v>1</v>
      </c>
      <c r="BD20" s="5">
        <f t="shared" si="131"/>
        <v>0</v>
      </c>
      <c r="BE20" s="5">
        <f t="shared" si="132"/>
        <v>0</v>
      </c>
      <c r="BF20" s="5">
        <f t="shared" si="133"/>
        <v>0</v>
      </c>
    </row>
    <row r="21" spans="1:58" x14ac:dyDescent="0.25">
      <c r="A21" s="17"/>
      <c r="B21" s="4">
        <v>4</v>
      </c>
      <c r="C21" s="5">
        <f t="shared" si="78"/>
        <v>3</v>
      </c>
      <c r="D21" s="5">
        <f t="shared" si="79"/>
        <v>3</v>
      </c>
      <c r="E21" s="5">
        <f t="shared" si="80"/>
        <v>2</v>
      </c>
      <c r="F21" s="5">
        <f t="shared" si="81"/>
        <v>2</v>
      </c>
      <c r="G21" s="5">
        <f t="shared" si="82"/>
        <v>3</v>
      </c>
      <c r="H21" s="5">
        <f t="shared" si="83"/>
        <v>2</v>
      </c>
      <c r="I21" s="5">
        <f t="shared" si="84"/>
        <v>1</v>
      </c>
      <c r="J21" s="5">
        <f t="shared" si="85"/>
        <v>1</v>
      </c>
      <c r="K21" s="5">
        <f t="shared" si="86"/>
        <v>1</v>
      </c>
      <c r="L21" s="5">
        <f t="shared" si="87"/>
        <v>2</v>
      </c>
      <c r="M21" s="5">
        <f t="shared" si="88"/>
        <v>1</v>
      </c>
      <c r="N21" s="5">
        <f t="shared" si="89"/>
        <v>1</v>
      </c>
      <c r="O21" s="5">
        <f t="shared" si="90"/>
        <v>2</v>
      </c>
      <c r="P21" s="5">
        <f t="shared" si="91"/>
        <v>2</v>
      </c>
      <c r="Q21" s="5">
        <f t="shared" si="92"/>
        <v>3</v>
      </c>
      <c r="R21" s="5">
        <f t="shared" si="93"/>
        <v>2</v>
      </c>
      <c r="S21" s="5">
        <f t="shared" si="94"/>
        <v>2</v>
      </c>
      <c r="T21" s="5">
        <f t="shared" si="95"/>
        <v>3</v>
      </c>
      <c r="U21" s="5">
        <f t="shared" si="96"/>
        <v>2</v>
      </c>
      <c r="V21" s="5">
        <f t="shared" si="97"/>
        <v>2</v>
      </c>
      <c r="W21" s="5">
        <f t="shared" si="98"/>
        <v>1</v>
      </c>
      <c r="X21" s="5">
        <f t="shared" si="99"/>
        <v>2</v>
      </c>
      <c r="Y21" s="5">
        <f t="shared" si="100"/>
        <v>3</v>
      </c>
      <c r="Z21" s="5">
        <f t="shared" si="101"/>
        <v>2</v>
      </c>
      <c r="AA21" s="5">
        <f t="shared" si="102"/>
        <v>3</v>
      </c>
      <c r="AB21" s="5">
        <f t="shared" si="103"/>
        <v>3</v>
      </c>
      <c r="AC21" s="5">
        <f t="shared" si="104"/>
        <v>3</v>
      </c>
      <c r="AD21" s="5">
        <f t="shared" si="105"/>
        <v>2</v>
      </c>
      <c r="AE21" s="5">
        <f t="shared" si="106"/>
        <v>1</v>
      </c>
      <c r="AF21" s="5">
        <f t="shared" si="107"/>
        <v>2</v>
      </c>
      <c r="AG21" s="5">
        <f t="shared" si="108"/>
        <v>2</v>
      </c>
      <c r="AH21" s="5">
        <f t="shared" si="109"/>
        <v>3</v>
      </c>
      <c r="AI21" s="5">
        <f t="shared" si="110"/>
        <v>3</v>
      </c>
      <c r="AJ21" s="5">
        <f t="shared" si="111"/>
        <v>3</v>
      </c>
      <c r="AK21" s="5">
        <f t="shared" si="112"/>
        <v>3</v>
      </c>
      <c r="AL21" s="5">
        <f t="shared" si="113"/>
        <v>2</v>
      </c>
      <c r="AM21" s="5">
        <f t="shared" si="114"/>
        <v>2</v>
      </c>
      <c r="AN21" s="5">
        <f t="shared" si="115"/>
        <v>1</v>
      </c>
      <c r="AO21" s="5">
        <f t="shared" si="116"/>
        <v>2</v>
      </c>
      <c r="AP21" s="5">
        <f t="shared" si="117"/>
        <v>2</v>
      </c>
      <c r="AQ21" s="5">
        <f t="shared" si="118"/>
        <v>2</v>
      </c>
      <c r="AR21" s="5">
        <f t="shared" si="119"/>
        <v>2</v>
      </c>
      <c r="AS21" s="5">
        <f t="shared" si="120"/>
        <v>1</v>
      </c>
      <c r="AT21" s="5">
        <f t="shared" si="121"/>
        <v>1</v>
      </c>
      <c r="AU21" s="5">
        <f t="shared" si="122"/>
        <v>1</v>
      </c>
      <c r="AV21" s="5">
        <f t="shared" si="123"/>
        <v>2</v>
      </c>
      <c r="AW21" s="5">
        <f t="shared" si="124"/>
        <v>3</v>
      </c>
      <c r="AX21" s="5">
        <f t="shared" si="125"/>
        <v>3</v>
      </c>
      <c r="AY21" s="5">
        <f t="shared" si="126"/>
        <v>3</v>
      </c>
      <c r="AZ21" s="5">
        <f t="shared" si="127"/>
        <v>3</v>
      </c>
      <c r="BA21" s="5">
        <f t="shared" si="128"/>
        <v>2</v>
      </c>
      <c r="BB21" s="5">
        <f t="shared" si="129"/>
        <v>1</v>
      </c>
      <c r="BC21" s="5">
        <f t="shared" si="130"/>
        <v>0</v>
      </c>
      <c r="BD21" s="5">
        <f t="shared" si="131"/>
        <v>0</v>
      </c>
      <c r="BE21" s="5">
        <f t="shared" si="132"/>
        <v>0</v>
      </c>
      <c r="BF21" s="5">
        <f t="shared" si="133"/>
        <v>0</v>
      </c>
    </row>
    <row r="22" spans="1:58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</row>
    <row r="23" spans="1:58" x14ac:dyDescent="0.25">
      <c r="A23" s="17" t="s">
        <v>21</v>
      </c>
      <c r="B23" s="4">
        <v>1</v>
      </c>
      <c r="C23" s="17">
        <v>3</v>
      </c>
      <c r="D23" s="17">
        <v>3</v>
      </c>
      <c r="E23" s="17">
        <v>3</v>
      </c>
      <c r="F23" s="17">
        <v>3</v>
      </c>
      <c r="G23" s="17">
        <v>3</v>
      </c>
      <c r="H23" s="17">
        <v>3</v>
      </c>
      <c r="I23" s="17">
        <v>3</v>
      </c>
      <c r="J23" s="17">
        <v>3</v>
      </c>
      <c r="K23" s="17">
        <v>3</v>
      </c>
      <c r="L23" s="17">
        <v>3</v>
      </c>
      <c r="M23" s="17">
        <v>3</v>
      </c>
      <c r="N23" s="17">
        <v>3</v>
      </c>
      <c r="O23" s="17">
        <v>3</v>
      </c>
      <c r="P23" s="17">
        <v>3</v>
      </c>
      <c r="Q23" s="17">
        <v>3</v>
      </c>
      <c r="R23" s="17">
        <v>3</v>
      </c>
      <c r="S23" s="17">
        <v>3</v>
      </c>
      <c r="T23" s="17">
        <v>3</v>
      </c>
      <c r="U23" s="17">
        <v>3</v>
      </c>
      <c r="V23" s="17">
        <v>3</v>
      </c>
      <c r="W23" s="17">
        <v>3</v>
      </c>
      <c r="X23" s="17">
        <v>3</v>
      </c>
      <c r="Y23" s="17">
        <v>3</v>
      </c>
      <c r="Z23" s="17">
        <v>3</v>
      </c>
      <c r="AA23" s="17">
        <v>3</v>
      </c>
      <c r="AB23" s="17">
        <v>3</v>
      </c>
      <c r="AC23" s="17">
        <v>3</v>
      </c>
      <c r="AD23" s="17">
        <v>3</v>
      </c>
      <c r="AE23" s="17">
        <v>3</v>
      </c>
      <c r="AF23" s="17">
        <v>3</v>
      </c>
      <c r="AG23" s="17">
        <v>3</v>
      </c>
      <c r="AH23" s="17">
        <v>3</v>
      </c>
      <c r="AI23" s="17">
        <v>3</v>
      </c>
      <c r="AJ23" s="17">
        <v>3</v>
      </c>
      <c r="AK23" s="17">
        <v>3</v>
      </c>
      <c r="AL23" s="17">
        <v>3</v>
      </c>
      <c r="AM23" s="17">
        <v>3</v>
      </c>
      <c r="AN23" s="17">
        <v>3</v>
      </c>
      <c r="AO23" s="17">
        <v>3</v>
      </c>
      <c r="AP23" s="17">
        <v>3</v>
      </c>
      <c r="AQ23" s="17">
        <v>3</v>
      </c>
      <c r="AR23" s="17">
        <v>3</v>
      </c>
      <c r="AS23" s="17">
        <v>3</v>
      </c>
      <c r="AT23" s="17">
        <v>3</v>
      </c>
      <c r="AU23" s="17">
        <v>3</v>
      </c>
      <c r="AV23" s="17">
        <v>3</v>
      </c>
      <c r="AW23" s="17">
        <v>3</v>
      </c>
      <c r="AX23" s="17">
        <v>3</v>
      </c>
      <c r="AY23" s="17">
        <v>3</v>
      </c>
      <c r="AZ23" s="17">
        <v>3</v>
      </c>
      <c r="BA23" s="17">
        <v>3</v>
      </c>
      <c r="BB23" s="17">
        <v>3</v>
      </c>
      <c r="BC23" s="17">
        <v>3</v>
      </c>
      <c r="BD23" s="17">
        <v>3</v>
      </c>
      <c r="BE23" s="17">
        <v>3</v>
      </c>
      <c r="BF23" s="17">
        <v>3</v>
      </c>
    </row>
    <row r="24" spans="1:58" x14ac:dyDescent="0.25">
      <c r="A24" s="17"/>
      <c r="B24" s="4">
        <v>2</v>
      </c>
      <c r="C24" s="17">
        <v>3</v>
      </c>
      <c r="D24" s="17">
        <v>3</v>
      </c>
      <c r="E24" s="17">
        <v>3</v>
      </c>
      <c r="F24" s="17">
        <v>3</v>
      </c>
      <c r="G24" s="17">
        <v>3</v>
      </c>
      <c r="H24" s="17">
        <v>3</v>
      </c>
      <c r="I24" s="17">
        <v>3</v>
      </c>
      <c r="J24" s="17">
        <v>3</v>
      </c>
      <c r="K24" s="17">
        <v>3</v>
      </c>
      <c r="L24" s="17">
        <v>3</v>
      </c>
      <c r="M24" s="17">
        <v>3</v>
      </c>
      <c r="N24" s="17">
        <v>3</v>
      </c>
      <c r="O24" s="17">
        <v>3</v>
      </c>
      <c r="P24" s="17">
        <v>3</v>
      </c>
      <c r="Q24" s="17">
        <v>3</v>
      </c>
      <c r="R24" s="17">
        <v>3</v>
      </c>
      <c r="S24" s="17">
        <v>3</v>
      </c>
      <c r="T24" s="17">
        <v>3</v>
      </c>
      <c r="U24" s="17">
        <v>3</v>
      </c>
      <c r="V24" s="17">
        <v>3</v>
      </c>
      <c r="W24" s="17">
        <v>3</v>
      </c>
      <c r="X24" s="17">
        <v>3</v>
      </c>
      <c r="Y24" s="17">
        <v>3</v>
      </c>
      <c r="Z24" s="17">
        <v>3</v>
      </c>
      <c r="AA24" s="17">
        <v>3</v>
      </c>
      <c r="AB24" s="17">
        <v>3</v>
      </c>
      <c r="AC24" s="17">
        <v>3</v>
      </c>
      <c r="AD24" s="17">
        <v>3</v>
      </c>
      <c r="AE24" s="17">
        <v>3</v>
      </c>
      <c r="AF24" s="17">
        <v>3</v>
      </c>
      <c r="AG24" s="17">
        <v>3</v>
      </c>
      <c r="AH24" s="17">
        <v>3</v>
      </c>
      <c r="AI24" s="17">
        <v>3</v>
      </c>
      <c r="AJ24" s="17">
        <v>3</v>
      </c>
      <c r="AK24" s="17">
        <v>3</v>
      </c>
      <c r="AL24" s="17">
        <v>3</v>
      </c>
      <c r="AM24" s="17">
        <v>3</v>
      </c>
      <c r="AN24" s="17">
        <v>3</v>
      </c>
      <c r="AO24" s="17">
        <v>3</v>
      </c>
      <c r="AP24" s="17">
        <v>3</v>
      </c>
      <c r="AQ24" s="17">
        <v>3</v>
      </c>
      <c r="AR24" s="17">
        <v>3</v>
      </c>
      <c r="AS24" s="17">
        <v>3</v>
      </c>
      <c r="AT24" s="17">
        <v>3</v>
      </c>
      <c r="AU24" s="17">
        <v>3</v>
      </c>
      <c r="AV24" s="17">
        <v>3</v>
      </c>
      <c r="AW24" s="17">
        <v>3</v>
      </c>
      <c r="AX24" s="17">
        <v>3</v>
      </c>
      <c r="AY24" s="17">
        <v>3</v>
      </c>
      <c r="AZ24" s="17">
        <v>3</v>
      </c>
      <c r="BA24" s="17">
        <v>3</v>
      </c>
      <c r="BB24" s="17">
        <v>3</v>
      </c>
      <c r="BC24" s="17">
        <v>3</v>
      </c>
      <c r="BD24" s="17">
        <v>3</v>
      </c>
      <c r="BE24" s="17">
        <v>3</v>
      </c>
      <c r="BF24" s="17">
        <v>3</v>
      </c>
    </row>
    <row r="25" spans="1:58" x14ac:dyDescent="0.25">
      <c r="A25" s="17"/>
      <c r="B25" s="4">
        <v>3</v>
      </c>
      <c r="C25" s="17">
        <v>3</v>
      </c>
      <c r="D25" s="17">
        <v>3</v>
      </c>
      <c r="E25" s="17">
        <v>3</v>
      </c>
      <c r="F25" s="17">
        <v>3</v>
      </c>
      <c r="G25" s="17">
        <v>3</v>
      </c>
      <c r="H25" s="17">
        <v>3</v>
      </c>
      <c r="I25" s="17">
        <v>3</v>
      </c>
      <c r="J25" s="17">
        <v>3</v>
      </c>
      <c r="K25" s="17">
        <v>3</v>
      </c>
      <c r="L25" s="17">
        <v>3</v>
      </c>
      <c r="M25" s="17">
        <v>3</v>
      </c>
      <c r="N25" s="17">
        <v>3</v>
      </c>
      <c r="O25" s="17">
        <v>3</v>
      </c>
      <c r="P25" s="17">
        <v>3</v>
      </c>
      <c r="Q25" s="17">
        <v>3</v>
      </c>
      <c r="R25" s="17">
        <v>3</v>
      </c>
      <c r="S25" s="17">
        <v>3</v>
      </c>
      <c r="T25" s="17">
        <v>3</v>
      </c>
      <c r="U25" s="17">
        <v>3</v>
      </c>
      <c r="V25" s="17">
        <v>3</v>
      </c>
      <c r="W25" s="17">
        <v>3</v>
      </c>
      <c r="X25" s="17">
        <v>3</v>
      </c>
      <c r="Y25" s="17">
        <v>3</v>
      </c>
      <c r="Z25" s="17">
        <v>3</v>
      </c>
      <c r="AA25" s="17">
        <v>3</v>
      </c>
      <c r="AB25" s="17">
        <v>3</v>
      </c>
      <c r="AC25" s="17">
        <v>3</v>
      </c>
      <c r="AD25" s="17">
        <v>3</v>
      </c>
      <c r="AE25" s="17">
        <v>3</v>
      </c>
      <c r="AF25" s="17">
        <v>3</v>
      </c>
      <c r="AG25" s="17">
        <v>3</v>
      </c>
      <c r="AH25" s="17">
        <v>3</v>
      </c>
      <c r="AI25" s="17">
        <v>3</v>
      </c>
      <c r="AJ25" s="17">
        <v>3</v>
      </c>
      <c r="AK25" s="17">
        <v>3</v>
      </c>
      <c r="AL25" s="17">
        <v>3</v>
      </c>
      <c r="AM25" s="17">
        <v>3</v>
      </c>
      <c r="AN25" s="17">
        <v>3</v>
      </c>
      <c r="AO25" s="17">
        <v>3</v>
      </c>
      <c r="AP25" s="17">
        <v>3</v>
      </c>
      <c r="AQ25" s="17">
        <v>3</v>
      </c>
      <c r="AR25" s="17">
        <v>3</v>
      </c>
      <c r="AS25" s="17">
        <v>3</v>
      </c>
      <c r="AT25" s="17">
        <v>3</v>
      </c>
      <c r="AU25" s="17">
        <v>3</v>
      </c>
      <c r="AV25" s="17">
        <v>3</v>
      </c>
      <c r="AW25" s="17">
        <v>3</v>
      </c>
      <c r="AX25" s="17">
        <v>3</v>
      </c>
      <c r="AY25" s="17">
        <v>3</v>
      </c>
      <c r="AZ25" s="17">
        <v>3</v>
      </c>
      <c r="BA25" s="17">
        <v>3</v>
      </c>
      <c r="BB25" s="17">
        <v>3</v>
      </c>
      <c r="BC25" s="17">
        <v>3</v>
      </c>
      <c r="BD25" s="17">
        <v>3</v>
      </c>
      <c r="BE25" s="17">
        <v>3</v>
      </c>
      <c r="BF25" s="17">
        <v>3</v>
      </c>
    </row>
    <row r="26" spans="1:58" x14ac:dyDescent="0.25">
      <c r="A26" s="17"/>
      <c r="B26" s="4">
        <v>4</v>
      </c>
      <c r="C26" s="17">
        <v>3</v>
      </c>
      <c r="D26" s="17">
        <v>3</v>
      </c>
      <c r="E26" s="17">
        <v>3</v>
      </c>
      <c r="F26" s="17">
        <v>3</v>
      </c>
      <c r="G26" s="17">
        <v>3</v>
      </c>
      <c r="H26" s="17">
        <v>3</v>
      </c>
      <c r="I26" s="17">
        <v>3</v>
      </c>
      <c r="J26" s="17">
        <v>3</v>
      </c>
      <c r="K26" s="17">
        <v>3</v>
      </c>
      <c r="L26" s="17">
        <v>3</v>
      </c>
      <c r="M26" s="17">
        <v>3</v>
      </c>
      <c r="N26" s="17">
        <v>3</v>
      </c>
      <c r="O26" s="17">
        <v>3</v>
      </c>
      <c r="P26" s="17">
        <v>3</v>
      </c>
      <c r="Q26" s="17">
        <v>3</v>
      </c>
      <c r="R26" s="17">
        <v>3</v>
      </c>
      <c r="S26" s="17">
        <v>3</v>
      </c>
      <c r="T26" s="17">
        <v>3</v>
      </c>
      <c r="U26" s="17">
        <v>3</v>
      </c>
      <c r="V26" s="17">
        <v>3</v>
      </c>
      <c r="W26" s="17">
        <v>3</v>
      </c>
      <c r="X26" s="17">
        <v>3</v>
      </c>
      <c r="Y26" s="17">
        <v>3</v>
      </c>
      <c r="Z26" s="17">
        <v>3</v>
      </c>
      <c r="AA26" s="17">
        <v>3</v>
      </c>
      <c r="AB26" s="17">
        <v>3</v>
      </c>
      <c r="AC26" s="17">
        <v>3</v>
      </c>
      <c r="AD26" s="17">
        <v>3</v>
      </c>
      <c r="AE26" s="17">
        <v>3</v>
      </c>
      <c r="AF26" s="17">
        <v>3</v>
      </c>
      <c r="AG26" s="17">
        <v>3</v>
      </c>
      <c r="AH26" s="17">
        <v>3</v>
      </c>
      <c r="AI26" s="17">
        <v>3</v>
      </c>
      <c r="AJ26" s="17">
        <v>3</v>
      </c>
      <c r="AK26" s="17">
        <v>3</v>
      </c>
      <c r="AL26" s="17">
        <v>3</v>
      </c>
      <c r="AM26" s="17">
        <v>3</v>
      </c>
      <c r="AN26" s="17">
        <v>3</v>
      </c>
      <c r="AO26" s="17">
        <v>3</v>
      </c>
      <c r="AP26" s="17">
        <v>3</v>
      </c>
      <c r="AQ26" s="17">
        <v>3</v>
      </c>
      <c r="AR26" s="17">
        <v>3</v>
      </c>
      <c r="AS26" s="17">
        <v>3</v>
      </c>
      <c r="AT26" s="17">
        <v>3</v>
      </c>
      <c r="AU26" s="17">
        <v>3</v>
      </c>
      <c r="AV26" s="17">
        <v>3</v>
      </c>
      <c r="AW26" s="17">
        <v>3</v>
      </c>
      <c r="AX26" s="17">
        <v>3</v>
      </c>
      <c r="AY26" s="17">
        <v>3</v>
      </c>
      <c r="AZ26" s="17">
        <v>3</v>
      </c>
      <c r="BA26" s="17">
        <v>3</v>
      </c>
      <c r="BB26" s="17">
        <v>3</v>
      </c>
      <c r="BC26" s="17">
        <v>3</v>
      </c>
      <c r="BD26" s="17">
        <v>3</v>
      </c>
      <c r="BE26" s="17">
        <v>3</v>
      </c>
      <c r="BF26" s="17">
        <v>3</v>
      </c>
    </row>
    <row r="27" spans="1:58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</row>
    <row r="28" spans="1:58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</row>
    <row r="29" spans="1:58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</row>
    <row r="30" spans="1:58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</row>
    <row r="31" spans="1:58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</row>
    <row r="32" spans="1:58" x14ac:dyDescent="0.2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</row>
    <row r="33" spans="1:47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</row>
    <row r="34" spans="1:47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</row>
    <row r="35" spans="1:47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</row>
    <row r="36" spans="1:47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</row>
    <row r="37" spans="1:47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</row>
    <row r="38" spans="1:47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</row>
    <row r="39" spans="1:47" x14ac:dyDescent="0.25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</row>
    <row r="40" spans="1:47" x14ac:dyDescent="0.25"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</row>
    <row r="41" spans="1:47" x14ac:dyDescent="0.25"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</row>
    <row r="42" spans="1:47" x14ac:dyDescent="0.25"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</row>
    <row r="43" spans="1:47" x14ac:dyDescent="0.25"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</row>
    <row r="44" spans="1:47" x14ac:dyDescent="0.25"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</row>
    <row r="45" spans="1:47" x14ac:dyDescent="0.25"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</row>
    <row r="46" spans="1:47" x14ac:dyDescent="0.25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</row>
    <row r="47" spans="1:47" x14ac:dyDescent="0.25"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</row>
    <row r="48" spans="1:47" x14ac:dyDescent="0.25"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</row>
    <row r="49" spans="2:34" x14ac:dyDescent="0.25"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</row>
    <row r="50" spans="2:34" x14ac:dyDescent="0.25"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</row>
    <row r="51" spans="2:34" x14ac:dyDescent="0.25"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</row>
    <row r="52" spans="2:34" x14ac:dyDescent="0.25"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</row>
    <row r="53" spans="2:34" x14ac:dyDescent="0.25"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</row>
    <row r="54" spans="2:34" x14ac:dyDescent="0.25"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</row>
    <row r="55" spans="2:34" x14ac:dyDescent="0.25"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</row>
    <row r="56" spans="2:34" x14ac:dyDescent="0.25"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</row>
    <row r="57" spans="2:34" x14ac:dyDescent="0.25"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</row>
    <row r="58" spans="2:34" x14ac:dyDescent="0.25"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</row>
    <row r="59" spans="2:34" x14ac:dyDescent="0.25"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</row>
    <row r="60" spans="2:34" x14ac:dyDescent="0.25"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</row>
    <row r="61" spans="2:34" x14ac:dyDescent="0.25"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</row>
    <row r="62" spans="2:34" x14ac:dyDescent="0.25"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</row>
    <row r="63" spans="2:34" x14ac:dyDescent="0.25"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</row>
    <row r="64" spans="2:34" x14ac:dyDescent="0.25"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</row>
    <row r="65" spans="2:34" x14ac:dyDescent="0.25"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</row>
    <row r="66" spans="2:34" x14ac:dyDescent="0.25"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</row>
    <row r="67" spans="2:34" x14ac:dyDescent="0.25"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</row>
    <row r="68" spans="2:34" x14ac:dyDescent="0.25"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</row>
    <row r="69" spans="2:34" x14ac:dyDescent="0.25"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</row>
    <row r="70" spans="2:34" x14ac:dyDescent="0.25"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</row>
    <row r="71" spans="2:34" x14ac:dyDescent="0.25"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</row>
    <row r="72" spans="2:34" x14ac:dyDescent="0.25"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</row>
    <row r="73" spans="2:34" x14ac:dyDescent="0.25"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</row>
    <row r="74" spans="2:34" x14ac:dyDescent="0.25"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</row>
    <row r="75" spans="2:34" x14ac:dyDescent="0.25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</row>
    <row r="76" spans="2:34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</row>
    <row r="77" spans="2:34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</row>
    <row r="78" spans="2:34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</row>
    <row r="79" spans="2:34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</row>
    <row r="80" spans="2:34" x14ac:dyDescent="0.25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</row>
    <row r="81" spans="2:34" x14ac:dyDescent="0.25"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</row>
    <row r="82" spans="2:34" x14ac:dyDescent="0.25"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</row>
    <row r="83" spans="2:34" x14ac:dyDescent="0.25"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</row>
    <row r="84" spans="2:34" x14ac:dyDescent="0.25"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</row>
    <row r="85" spans="2:34" x14ac:dyDescent="0.25"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</row>
    <row r="86" spans="2:34" x14ac:dyDescent="0.25"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</row>
    <row r="87" spans="2:34" x14ac:dyDescent="0.25"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</row>
    <row r="88" spans="2:34" x14ac:dyDescent="0.25"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</row>
    <row r="89" spans="2:34" x14ac:dyDescent="0.25"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</row>
    <row r="90" spans="2:34" x14ac:dyDescent="0.25"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</row>
    <row r="91" spans="2:34" x14ac:dyDescent="0.25"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</row>
    <row r="92" spans="2:34" x14ac:dyDescent="0.25"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</row>
    <row r="93" spans="2:34" x14ac:dyDescent="0.25"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</row>
    <row r="94" spans="2:34" x14ac:dyDescent="0.25"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</row>
    <row r="95" spans="2:34" x14ac:dyDescent="0.25"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</row>
    <row r="96" spans="2:34" x14ac:dyDescent="0.25"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</row>
    <row r="97" spans="2:34" x14ac:dyDescent="0.25"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</row>
    <row r="98" spans="2:34" x14ac:dyDescent="0.25"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</row>
    <row r="99" spans="2:34" x14ac:dyDescent="0.25"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</row>
    <row r="100" spans="2:34" x14ac:dyDescent="0.25"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</row>
    <row r="101" spans="2:34" x14ac:dyDescent="0.25"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</row>
    <row r="102" spans="2:34" x14ac:dyDescent="0.25"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</row>
    <row r="103" spans="2:34" x14ac:dyDescent="0.25"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</row>
    <row r="104" spans="2:34" x14ac:dyDescent="0.25"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</row>
    <row r="105" spans="2:34" x14ac:dyDescent="0.25"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</row>
    <row r="106" spans="2:34" x14ac:dyDescent="0.25"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</row>
    <row r="107" spans="2:34" x14ac:dyDescent="0.25"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</row>
    <row r="108" spans="2:34" x14ac:dyDescent="0.25"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</row>
    <row r="109" spans="2:34" x14ac:dyDescent="0.25"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</row>
    <row r="110" spans="2:34" x14ac:dyDescent="0.25"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</row>
  </sheetData>
  <mergeCells count="8">
    <mergeCell ref="AY1:BF1"/>
    <mergeCell ref="C10:K10"/>
    <mergeCell ref="C1:J1"/>
    <mergeCell ref="K1:R1"/>
    <mergeCell ref="S1:Z1"/>
    <mergeCell ref="AA1:AH1"/>
    <mergeCell ref="AI1:AP1"/>
    <mergeCell ref="AQ1:AX1"/>
  </mergeCells>
  <conditionalFormatting sqref="BH5:BI5 BG4 C4:R4 AA4:AP4">
    <cfRule type="colorScale" priority="16">
      <colorScale>
        <cfvo type="min"/>
        <cfvo type="max"/>
        <color rgb="FFFCFCFF"/>
        <color rgb="FF63BE7B"/>
      </colorScale>
    </cfRule>
  </conditionalFormatting>
  <conditionalFormatting sqref="C6:BF9">
    <cfRule type="cellIs" dxfId="8" priority="15" operator="equal">
      <formula>1</formula>
    </cfRule>
  </conditionalFormatting>
  <conditionalFormatting sqref="C27:O62">
    <cfRule type="cellIs" dxfId="7" priority="12" operator="greaterThan">
      <formula>3</formula>
    </cfRule>
    <cfRule type="cellIs" dxfId="6" priority="13" operator="greaterThan">
      <formula>0</formula>
    </cfRule>
  </conditionalFormatting>
  <conditionalFormatting sqref="T27:AF62 U22:AF22">
    <cfRule type="cellIs" dxfId="5" priority="10" operator="greaterThan">
      <formula>3</formula>
    </cfRule>
    <cfRule type="cellIs" dxfId="4" priority="11" operator="greaterThan">
      <formula>0</formula>
    </cfRule>
  </conditionalFormatting>
  <conditionalFormatting sqref="C65:O106">
    <cfRule type="cellIs" dxfId="3" priority="7" operator="greaterThan">
      <formula>0</formula>
    </cfRule>
    <cfRule type="cellIs" dxfId="2" priority="8" operator="greaterThan">
      <formula>3</formula>
    </cfRule>
    <cfRule type="cellIs" dxfId="1" priority="9" operator="greaterThan">
      <formula>0</formula>
    </cfRule>
  </conditionalFormatting>
  <conditionalFormatting sqref="C16:AR17 C12:BF1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:T22 U18:BF21 C23:BF26">
    <cfRule type="cellIs" dxfId="0" priority="4" operator="greaterThan">
      <formula>4</formula>
    </cfRule>
  </conditionalFormatting>
  <conditionalFormatting sqref="S4:Z4">
    <cfRule type="colorScale" priority="3">
      <colorScale>
        <cfvo type="min"/>
        <cfvo type="max"/>
        <color rgb="FFFCFCFF"/>
        <color rgb="FF63BE7B"/>
      </colorScale>
    </cfRule>
  </conditionalFormatting>
  <conditionalFormatting sqref="AQ4:AX4">
    <cfRule type="colorScale" priority="2">
      <colorScale>
        <cfvo type="min"/>
        <cfvo type="max"/>
        <color rgb="FFFCFCFF"/>
        <color rgb="FF63BE7B"/>
      </colorScale>
    </cfRule>
  </conditionalFormatting>
  <conditionalFormatting sqref="AY4:BF4">
    <cfRule type="colorScale" priority="1">
      <colorScale>
        <cfvo type="min"/>
        <cfvo type="max"/>
        <color rgb="FFFCFCFF"/>
        <color rgb="FF63BE7B"/>
      </colorScale>
    </cfRule>
  </conditionalFormatting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Employee Hours</vt:lpstr>
      <vt:lpstr>Employee Availability</vt:lpstr>
      <vt:lpstr>Employee Preference</vt:lpstr>
      <vt:lpstr>Assignments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Thomas</dc:creator>
  <cp:lastModifiedBy>Surdulica</cp:lastModifiedBy>
  <dcterms:created xsi:type="dcterms:W3CDTF">2013-04-23T02:43:37Z</dcterms:created>
  <dcterms:modified xsi:type="dcterms:W3CDTF">2018-08-25T16:31:29Z</dcterms:modified>
</cp:coreProperties>
</file>